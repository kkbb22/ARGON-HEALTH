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98618bc27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00bcfbb940440b5"/>
    <x:sheet xmlns:r="http://schemas.openxmlformats.org/officeDocument/2006/relationships" name="Verification Matrix" sheetId="2" r:id="R9084d264a1ab465a"/>
    <x:sheet xmlns:r="http://schemas.openxmlformats.org/officeDocument/2006/relationships" name="Risk Register" sheetId="3" r:id="R4d4fcca1ec364979"/>
    <x:sheet xmlns:r="http://schemas.openxmlformats.org/officeDocument/2006/relationships" name="Evidence Register" sheetId="4" r:id="R767e35235c524b10"/>
    <x:sheet xmlns:r="http://schemas.openxmlformats.org/officeDocument/2006/relationships" name="Test Catalog" sheetId="5" r:id="R2084d6a061d2455a"/>
    <x:sheet xmlns:r="http://schemas.openxmlformats.org/officeDocument/2006/relationships" name="Release Signoffs" sheetId="6" r:id="Rc6314cc218684854"/>
    <x:sheet xmlns:r="http://schemas.openxmlformats.org/officeDocument/2006/relationships" name="Revalidation" sheetId="7" r:id="R6f875796cf874425"/>
    <x:sheet xmlns:r="http://schemas.openxmlformats.org/officeDocument/2006/relationships" name="Read Me" sheetId="8" r:id="R4f150a0d7fa24a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9"/>
      <x:color rgb="FF132238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0"/>
      <x:color rgb="FF1322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EAF1F7"/>
      </x:patternFill>
    </x:fill>
    <x:fill>
      <x:patternFill patternType="solid">
        <x:fgColor rgb="FF244A73"/>
      </x:patternFill>
    </x:fill>
    <x:fill>
      <x:patternFill patternType="solid">
        <x:fgColor rgb="FFF5F7FA"/>
      </x:patternFill>
    </x:fill>
    <x:fill>
      <x:patternFill patternType="solid">
        <x:fgColor rgb="FF147D7A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377ca6cbf4f38" /><Relationship Type="http://schemas.openxmlformats.org/officeDocument/2006/relationships/theme" Target="/xl/theme/theme1.xml" Id="R0eb43a48dacf47a2" /><Relationship Type="http://schemas.openxmlformats.org/officeDocument/2006/relationships/sharedStrings" Target="/xl/sharedStrings.xml" Id="R4b54d1378e754113" /><Relationship Type="http://schemas.openxmlformats.org/officeDocument/2006/relationships/worksheet" Target="/xl/worksheets/sheet1.xml" Id="R700bcfbb940440b5" /><Relationship Type="http://schemas.openxmlformats.org/officeDocument/2006/relationships/worksheet" Target="/xl/worksheets/sheet2.xml" Id="R9084d264a1ab465a" /><Relationship Type="http://schemas.openxmlformats.org/officeDocument/2006/relationships/worksheet" Target="/xl/worksheets/sheet3.xml" Id="R4d4fcca1ec364979" /><Relationship Type="http://schemas.openxmlformats.org/officeDocument/2006/relationships/worksheet" Target="/xl/worksheets/sheet4.xml" Id="R767e35235c524b10" /><Relationship Type="http://schemas.openxmlformats.org/officeDocument/2006/relationships/worksheet" Target="/xl/worksheets/sheet5.xml" Id="R2084d6a061d2455a" /><Relationship Type="http://schemas.openxmlformats.org/officeDocument/2006/relationships/worksheet" Target="/xl/worksheets/sheet6.xml" Id="Rc6314cc218684854" /><Relationship Type="http://schemas.openxmlformats.org/officeDocument/2006/relationships/worksheet" Target="/xl/worksheets/sheet7.xml" Id="R6f875796cf874425" /><Relationship Type="http://schemas.openxmlformats.org/officeDocument/2006/relationships/worksheet" Target="/xl/worksheets/sheet8.xml" Id="R4f150a0d7fa24a53" /></Relationships>
</file>

<file path=xl/tables/table1.xml><?xml version="1.0" encoding="utf-8"?>
<x:table xmlns:x="http://schemas.openxmlformats.org/spreadsheetml/2006/main" id="1" name="VerificationMatrix" displayName="VerificationMatrix" ref="A1:M68" headerRowCount="1" totalsRowCount="0" totalsRowShown="0">
  <x:tableColumns count="13">
    <x:tableColumn id="1" name="control_id"/>
    <x:tableColumn id="2" name="domain"/>
    <x:tableColumn id="3" name="title"/>
    <x:tableColumn id="4" name="requirement"/>
    <x:tableColumn id="5" name="verification_method"/>
    <x:tableColumn id="6" name="acceptance_criteria"/>
    <x:tableColumn id="7" name="risk_tier"/>
    <x:tableColumn id="8" name="required_gate"/>
    <x:tableColumn id="9" name="owner_role"/>
    <x:tableColumn id="10" name="frequency"/>
    <x:tableColumn id="11" name="status"/>
    <x:tableColumn id="12" name="evidence_id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Register" displayName="RiskRegister" ref="A1:P8" headerRowCount="1" totalsRowCount="0" totalsRowShown="0">
  <x:tableColumns count="16">
    <x:tableColumn id="1" name="risk_id"/>
    <x:tableColumn id="2" name="title"/>
    <x:tableColumn id="3" name="domain"/>
    <x:tableColumn id="4" name="scenario"/>
    <x:tableColumn id="5" name="impact"/>
    <x:tableColumn id="6" name="likelihood"/>
    <x:tableColumn id="7" name="inherent_severity"/>
    <x:tableColumn id="8" name="mitigation"/>
    <x:tableColumn id="9" name="owner_role"/>
    <x:tableColumn id="10" name="status"/>
    <x:tableColumn id="11" name="linked_controls"/>
    <x:tableColumn id="12" name="accepted_by"/>
    <x:tableColumn id="13" name="expires_on"/>
    <x:tableColumn id="14" name="acceptance_evidence_id"/>
    <x:tableColumn id="15" name="closure_evidence_id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Register" displayName="EvidenceRegister" ref="A1:L2" headerRowCount="1" totalsRowCount="0" totalsRowShown="0">
  <x:tableColumns count="12">
    <x:tableColumn id="1" name="evidence_id"/>
    <x:tableColumn id="2" name="control_id"/>
    <x:tableColumn id="3" name="artifact_path"/>
    <x:tableColumn id="4" name="artifact_sha256"/>
    <x:tableColumn id="5" name="evidence_type"/>
    <x:tableColumn id="6" name="created_by"/>
    <x:tableColumn id="7" name="reviewed_by"/>
    <x:tableColumn id="8" name="approved_by"/>
    <x:tableColumn id="9" name="created_utc"/>
    <x:tableColumn id="10" name="valid_until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eptanceTests" displayName="AcceptanceTests" ref="A1:I21" headerRowCount="1" totalsRowCount="0" totalsRowShown="0">
  <x:tableColumns count="9">
    <x:tableColumn id="1" name="test_id"/>
    <x:tableColumn id="2" name="domain"/>
    <x:tableColumn id="3" name="preconditions"/>
    <x:tableColumn id="4" name="action"/>
    <x:tableColumn id="5" name="expected_result"/>
    <x:tableColumn id="6" name="risk_tier"/>
    <x:tableColumn id="7" name="linked_controls"/>
    <x:tableColumn id="8" name="evidence_to_capture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easeSignoffs" displayName="ReleaseSignoffs" ref="A1:S2" headerRowCount="1" totalsRowCount="0" totalsRowShown="0">
  <x:tableColumns count="19">
    <x:tableColumn id="1" name="release_id"/>
    <x:tableColumn id="2" name="environment"/>
    <x:tableColumn id="3" name="gate"/>
    <x:tableColumn id="4" name="decision"/>
    <x:tableColumn id="5" name="decision_owner"/>
    <x:tableColumn id="6" name="commit_sha"/>
    <x:tableColumn id="7" name="artifact_digest"/>
    <x:tableColumn id="8" name="configuration_version"/>
    <x:tableColumn id="9" name="migration_version"/>
    <x:tableColumn id="10" name="scope"/>
    <x:tableColumn id="11" name="rollback_plan_path"/>
    <x:tableColumn id="12" name="qa_signoff"/>
    <x:tableColumn id="13" name="security_signoff"/>
    <x:tableColumn id="14" name="clinical_signoff"/>
    <x:tableColumn id="15" name="privacy_legal_signoff"/>
    <x:tableColumn id="16" name="operations_signoff"/>
    <x:tableColumn id="17" name="recorded_utc"/>
    <x:tableColumn id="18" name="valid_until"/>
    <x:tableColumn id="1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erationalRevalidations" displayName="OperationalRevalidations" ref="A1:L2" headerRowCount="1" totalsRowCount="0" totalsRowShown="0">
  <x:tableColumns count="12">
    <x:tableColumn id="1" name="period_id"/>
    <x:tableColumn id="2" name="environment"/>
    <x:tableColumn id="3" name="period_start"/>
    <x:tableColumn id="4" name="period_end"/>
    <x:tableColumn id="5" name="decision"/>
    <x:tableColumn id="6" name="operations_reviewer"/>
    <x:tableColumn id="7" name="security_reviewer"/>
    <x:tableColumn id="8" name="clinical_reviewer"/>
    <x:tableColumn id="9" name="privacy_legal_reviewer"/>
    <x:tableColumn id="10" name="evidence_id"/>
    <x:tableColumn id="11" name="next_review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db7c9835fb4f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f977759fac4b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7abf2ab0324c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5be12dea9b49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957153b803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e3753e63e044f5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21" hidden="0" customWidth="1"/>
    <x:col min="4" max="4" width="14" hidden="0" customWidth="1"/>
    <x:col min="5" max="5" width="23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8" customHeight="1">
      <x:c r="A1" s="12" t="str">
        <x:v>ARGON HEALTH | ASSURANCE CONTROL TOWER</x:v>
      </x:c>
      <x:c r="B1" s="12"/>
      <x:c r="C1" s="12"/>
      <x:c r="D1" s="12"/>
      <x:c r="E1" s="12"/>
      <x:c r="F1" s="12"/>
      <x:c r="G1" s="12"/>
      <x:c r="H1" s="12"/>
    </x:row>
    <x:row r="2" ht="30" customHeight="1">
      <x:c r="A2" s="16" t="str">
        <x:v>Initial state is intentionally unverified. This workbook tracks evidence; it is not certification or a product test.</x:v>
      </x:c>
      <x:c r="B2" s="16"/>
      <x:c r="C2" s="16"/>
      <x:c r="D2" s="16"/>
      <x:c r="E2" s="16"/>
      <x:c r="F2" s="16"/>
      <x:c r="G2" s="16"/>
      <x:c r="H2" s="16"/>
    </x:row>
    <x:row r="4">
      <x:c r="A4" s="22" t="str">
        <x:v>CONTROL TOTAL</x:v>
      </x:c>
      <x:c r="B4" s="22" t="str"/>
      <x:c r="C4" s="22" t="str">
        <x:v>NOT RUN</x:v>
      </x:c>
      <x:c r="D4" s="22" t="str"/>
      <x:c r="E4" s="22" t="str">
        <x:v>IN PROGRESS</x:v>
      </x:c>
      <x:c r="F4" s="22" t="str"/>
      <x:c r="G4" s="22" t="str">
        <x:v>PASS</x:v>
      </x:c>
      <x:c r="H4" s="22" t="str"/>
    </x:row>
    <x:row r="5">
      <x:c r="A5" s="28" t="n">
        <x:f>COUNTA('Verification Matrix'!A2:A68)</x:f>
        <x:v>67</x:v>
      </x:c>
      <x:c r="B5" s="28"/>
      <x:c r="C5" s="28" t="n">
        <x:f>COUNTIF('Verification Matrix'!K2:K68,"NOT_RUN")</x:f>
        <x:v>67</x:v>
      </x:c>
      <x:c r="D5" s="28"/>
      <x:c r="E5" s="28" t="n">
        <x:f>COUNTIF('Verification Matrix'!K2:K68,"IN_PROGRESS")</x:f>
        <x:v>0</x:v>
      </x:c>
      <x:c r="F5" s="28"/>
      <x:c r="G5" s="28" t="n">
        <x:f>COUNTIF('Verification Matrix'!K2:K68,"PASS")</x:f>
        <x:v>0</x:v>
      </x:c>
      <x:c r="H5" s="28"/>
    </x:row>
    <x:row r="7">
      <x:c r="A7" s="22" t="str">
        <x:v>FAIL</x:v>
      </x:c>
      <x:c r="B7" s="22" t="str"/>
      <x:c r="C7" s="22" t="str">
        <x:v>BLOCKED</x:v>
      </x:c>
      <x:c r="D7" s="22" t="str"/>
      <x:c r="E7" s="22" t="str">
        <x:v>OPEN CRITICAL RISKS</x:v>
      </x:c>
      <x:c r="F7" s="22" t="str"/>
      <x:c r="G7" s="22" t="str">
        <x:v>EVIDENCE RECORDS</x:v>
      </x:c>
      <x:c r="H7" s="22" t="str"/>
    </x:row>
    <x:row r="8">
      <x:c r="A8" s="28" t="n">
        <x:f>COUNTIF('Verification Matrix'!K2:K68,"FAIL")</x:f>
        <x:v>0</x:v>
      </x:c>
      <x:c r="B8" s="28"/>
      <x:c r="C8" s="28" t="n">
        <x:f>COUNTIF('Verification Matrix'!K2:K68,"BLOCKED")</x:f>
        <x:v>0</x:v>
      </x:c>
      <x:c r="D8" s="28"/>
      <x:c r="E8" s="28" t="n">
        <x:f>COUNTIFS('Risk Register'!G2:G8,"CRITICAL",'Risk Register'!J2:J8,"&lt;&gt;CLOSED")</x:f>
        <x:v>3</x:v>
      </x:c>
      <x:c r="F8" s="28"/>
      <x:c r="G8" s="28" t="n">
        <x:f>COUNTIF('Evidence Register'!K2:K200,"PLANNED")+COUNTIF('Evidence Register'!K2:K200,"COLLECTED")+COUNTIF('Evidence Register'!K2:K200,"REVIEWED")+COUNTIF('Evidence Register'!K2:K200,"ACCEPTED")+COUNTIF('Evidence Register'!K2:K200,"EXPIRED")+COUNTIF('Evidence Register'!K2:K200,"REJECTED")</x:f>
        <x:v>0</x:v>
      </x:c>
      <x:c r="H8" s="28"/>
    </x:row>
    <x:row r="10">
      <x:c r="A10" s="32" t="str">
        <x:v>Earliest gate</x:v>
      </x:c>
      <x:c r="B10" s="32" t="str">
        <x:v>Controls</x:v>
      </x:c>
    </x:row>
    <x:row r="11">
      <x:c r="A11" t="str">
        <x:v>G0</x:v>
      </x:c>
      <x:c r="B11" t="n">
        <x:f>COUNTIF('Verification Matrix'!H2:H68,"G0")</x:f>
        <x:v>8</x:v>
      </x:c>
    </x:row>
    <x:row r="12">
      <x:c r="A12" t="str">
        <x:v>G1</x:v>
      </x:c>
      <x:c r="B12" t="n">
        <x:f>COUNTIF('Verification Matrix'!H2:H68,"G1")</x:f>
        <x:v>18</x:v>
      </x:c>
    </x:row>
    <x:row r="13">
      <x:c r="A13" t="str">
        <x:v>G2</x:v>
      </x:c>
      <x:c r="B13" t="n">
        <x:f>COUNTIF('Verification Matrix'!H2:H68,"G2")</x:f>
        <x:v>15</x:v>
      </x:c>
    </x:row>
    <x:row r="14">
      <x:c r="A14" t="str">
        <x:v>G3</x:v>
      </x:c>
      <x:c r="B14" t="n">
        <x:f>COUNTIF('Verification Matrix'!H2:H68,"G3")</x:f>
        <x:v>13</x:v>
      </x:c>
    </x:row>
    <x:row r="15">
      <x:c r="A15" t="str">
        <x:v>G4</x:v>
      </x:c>
      <x:c r="B15" t="n">
        <x:f>COUNTIF('Verification Matrix'!H2:H68,"G4")</x:f>
        <x:v>7</x:v>
      </x:c>
    </x:row>
    <x:row r="16">
      <x:c r="A16" t="str">
        <x:v>G5</x:v>
      </x:c>
      <x:c r="B16" t="n">
        <x:f>COUNTIF('Verification Matrix'!H2:H68,"G5")</x:f>
        <x:v>6</x:v>
      </x:c>
    </x:row>
    <x:row r="18">
      <x:c r="A18" s="32" t="str">
        <x:v>Meaning of a green check</x:v>
      </x:c>
      <x:c r="B18" s="32"/>
      <x:c r="C18" s="32"/>
      <x:c r="D18" s="32"/>
    </x:row>
    <x:row r="19">
      <x:c r="A19" s="38" t="str">
        <x:v>Structural validation only confirms register integrity and cross-references. It does not run the ARGON application. All 67 controls start NOT_RUN; the production gate must fail until accepted evidence, risk decisions and sign-offs are recorded.</x:v>
      </x:c>
      <x:c r="B19" s="38"/>
      <x:c r="C19" s="38"/>
      <x:c r="D19" s="38"/>
    </x:row>
    <x:row r="20">
      <x:c r="A20" s="38"/>
      <x:c r="B20" s="38"/>
      <x:c r="C20" s="38"/>
      <x:c r="D20" s="38"/>
    </x:row>
    <x:row r="21">
      <x:c r="A21" s="38"/>
      <x:c r="B21" s="38"/>
      <x:c r="C21" s="38"/>
      <x:c r="D21" s="38"/>
    </x:row>
    <x:row r="22">
      <x:c r="A22" s="38"/>
      <x:c r="B22" s="38"/>
      <x:c r="C22" s="38"/>
      <x:c r="D22" s="38"/>
    </x:row>
  </x:sheetData>
  <x:mergeCells>
    <x:mergeCell ref="A1:H1"/>
    <x:mergeCell ref="A2:H2"/>
    <x:mergeCell ref="A18:D18"/>
    <x:mergeCell ref="A19:D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30" hidden="0" customWidth="1"/>
    <x:col min="4" max="4" width="40" hidden="0" customWidth="1"/>
    <x:col min="5" max="5" width="34" hidden="0" customWidth="1"/>
    <x:col min="6" max="6" width="40" hidden="0" customWidth="1"/>
    <x:col min="7" max="7" width="13" hidden="0" customWidth="1"/>
    <x:col min="8" max="8" width="13" hidden="0" customWidth="1"/>
    <x:col min="9" max="9" width="22" hidden="0" customWidth="1"/>
    <x:col min="10" max="10" width="20" hidden="0" customWidth="1"/>
    <x:col min="11" max="11" width="16" hidden="0" customWidth="1"/>
    <x:col min="12" max="12" width="15" hidden="0" customWidth="1"/>
    <x:col min="13" max="13" width="34" hidden="0" customWidth="1"/>
  </x:cols>
  <x:sheetData>
    <x:row r="1" ht="32" customHeight="1">
      <x:c r="A1" s="6" t="str">
        <x:v>control_id</x:v>
      </x:c>
      <x:c r="B1" s="6" t="str">
        <x:v>domain</x:v>
      </x:c>
      <x:c r="C1" s="6" t="str">
        <x:v>title</x:v>
      </x:c>
      <x:c r="D1" s="6" t="str">
        <x:v>requirement</x:v>
      </x:c>
      <x:c r="E1" s="6" t="str">
        <x:v>verification_method</x:v>
      </x:c>
      <x:c r="F1" s="6" t="str">
        <x:v>acceptance_criteria</x:v>
      </x:c>
      <x:c r="G1" s="6" t="str">
        <x:v>risk_tier</x:v>
      </x:c>
      <x:c r="H1" s="6" t="str">
        <x:v>required_gate</x:v>
      </x:c>
      <x:c r="I1" s="6" t="str">
        <x:v>owner_role</x:v>
      </x:c>
      <x:c r="J1" s="6" t="str">
        <x:v>frequency</x:v>
      </x:c>
      <x:c r="K1" s="6" t="str">
        <x:v>status</x:v>
      </x:c>
      <x:c r="L1" s="6" t="str">
        <x:v>evidence_id</x:v>
      </x:c>
      <x:c r="M1" s="6" t="str">
        <x:v>notes</x:v>
      </x:c>
    </x:row>
    <x:row r="2" ht="42" customHeight="1">
      <x:c r="A2" s="10" t="str">
        <x:v>VFY-GOV-001</x:v>
      </x:c>
      <x:c r="B2" s="10" t="str">
        <x:v>Governance</x:v>
      </x:c>
      <x:c r="C2" s="10" t="str">
        <x:v>Source-of-truth alignment</x:v>
      </x:c>
      <x:c r="D2" s="10" t="str">
        <x:v>Use existing ARGON source-of-truth and ADR precedence; no competing authority is silently introduced.</x:v>
      </x:c>
      <x:c r="E2" s="10" t="str">
        <x:v>Cross-document review; link graph check</x:v>
      </x:c>
      <x:c r="F2" s="10" t="str">
        <x:v>All assurance controls map to authoritative docs/ADRs or are explicitly proposed with conflict owner.</x:v>
      </x:c>
      <x:c r="G2" s="10" t="str">
        <x:v>HIGH</x:v>
      </x:c>
      <x:c r="H2" s="10" t="str">
        <x:v>G0</x:v>
      </x:c>
      <x:c r="I2" s="10" t="str">
        <x:v>Decision authority</x:v>
      </x:c>
      <x:c r="J2" s="10" t="str">
        <x:v>Every baseline change</x:v>
      </x:c>
      <x:c r="K2" s="10" t="str">
        <x:v>NOT_RUN</x:v>
      </x:c>
      <x:c r="L2" s="10" t="str"/>
      <x:c r="M2" s="10" t="str"/>
    </x:row>
    <x:row r="3" ht="42" customHeight="1">
      <x:c r="A3" s="10" t="str">
        <x:v>VFY-GOV-002</x:v>
      </x:c>
      <x:c r="B3" s="10" t="str">
        <x:v>Governance</x:v>
      </x:c>
      <x:c r="C3" s="10" t="str">
        <x:v>Named accountable owners</x:v>
      </x:c>
      <x:c r="D3" s="10" t="str">
        <x:v>Every critical function has an accountable named owner and independent reviewer.</x:v>
      </x:c>
      <x:c r="E3" s="10" t="str">
        <x:v>Ownership register review</x:v>
      </x:c>
      <x:c r="F3" s="10" t="str">
        <x:v>No critical/high control lacks an accountable owner and review path.</x:v>
      </x:c>
      <x:c r="G3" s="10" t="str">
        <x:v>HIGH</x:v>
      </x:c>
      <x:c r="H3" s="10" t="str">
        <x:v>G0</x:v>
      </x:c>
      <x:c r="I3" s="10" t="str">
        <x:v>Decision authority</x:v>
      </x:c>
      <x:c r="J3" s="10" t="str">
        <x:v>Quarterly / role change</x:v>
      </x:c>
      <x:c r="K3" s="10" t="str">
        <x:v>NOT_RUN</x:v>
      </x:c>
      <x:c r="L3" s="10" t="str"/>
      <x:c r="M3" s="10" t="str"/>
    </x:row>
    <x:row r="4" ht="42" customHeight="1">
      <x:c r="A4" s="10" t="str">
        <x:v>VFY-GOV-003</x:v>
      </x:c>
      <x:c r="B4" s="10" t="str">
        <x:v>Governance</x:v>
      </x:c>
      <x:c r="C4" s="10" t="str">
        <x:v>Scope and intended use</x:v>
      </x:c>
      <x:c r="D4" s="10" t="str">
        <x:v>Define launch facility types, users, clinical functions, non-goals, jurisdictions and hosting regions.</x:v>
      </x:c>
      <x:c r="E4" s="10" t="str">
        <x:v>Scope review with product/legal/clinical owners</x:v>
      </x:c>
      <x:c r="F4" s="10" t="str">
        <x:v>Scope is approved and every excluded function/jurisdiction has an explicit rationale.</x:v>
      </x:c>
      <x:c r="G4" s="10" t="str">
        <x:v>HIGH</x:v>
      </x:c>
      <x:c r="H4" s="10" t="str">
        <x:v>G0</x:v>
      </x:c>
      <x:c r="I4" s="10" t="str">
        <x:v>Product/system owner</x:v>
      </x:c>
      <x:c r="J4" s="10" t="str">
        <x:v>Every scope change</x:v>
      </x:c>
      <x:c r="K4" s="10" t="str">
        <x:v>NOT_RUN</x:v>
      </x:c>
      <x:c r="L4" s="10" t="str"/>
      <x:c r="M4" s="10" t="str"/>
    </x:row>
    <x:row r="5" ht="42" customHeight="1">
      <x:c r="A5" s="10" t="str">
        <x:v>VFY-GOV-004</x:v>
      </x:c>
      <x:c r="B5" s="10" t="str">
        <x:v>Governance</x:v>
      </x:c>
      <x:c r="C5" s="10" t="str">
        <x:v>Stable requirement traceability</x:v>
      </x:c>
      <x:c r="D5" s="10" t="str">
        <x:v>Give requirements, hazards, risks, tests, and evidence stable IDs.</x:v>
      </x:c>
      <x:c r="E5" s="10" t="str">
        <x:v>Automated matrix lint + sample trace walk</x:v>
      </x:c>
      <x:c r="F5" s="10" t="str">
        <x:v>IDs unique; each in-scope requirement has owner, acceptance criteria, verification path and gate.</x:v>
      </x:c>
      <x:c r="G5" s="10" t="str">
        <x:v>HIGH</x:v>
      </x:c>
      <x:c r="H5" s="10" t="str">
        <x:v>G0</x:v>
      </x:c>
      <x:c r="I5" s="10" t="str">
        <x:v>QA/verification owner</x:v>
      </x:c>
      <x:c r="J5" s="10" t="str">
        <x:v>On change / periodic</x:v>
      </x:c>
      <x:c r="K5" s="10" t="str">
        <x:v>NOT_RUN</x:v>
      </x:c>
      <x:c r="L5" s="10" t="str"/>
      <x:c r="M5" s="10" t="str"/>
    </x:row>
    <x:row r="6" ht="42" customHeight="1">
      <x:c r="A6" s="10" t="str">
        <x:v>VFY-GOV-005</x:v>
      </x:c>
      <x:c r="B6" s="10" t="str">
        <x:v>Governance</x:v>
      </x:c>
      <x:c r="C6" s="10" t="str">
        <x:v>ADR approval state</x:v>
      </x:c>
      <x:c r="D6" s="10" t="str">
        <x:v>Proposed decisions are not treated as approved/implemented.</x:v>
      </x:c>
      <x:c r="E6" s="10" t="str">
        <x:v>ADR/status-board consistency review</x:v>
      </x:c>
      <x:c r="F6" s="10" t="str">
        <x:v>Decision authority and date are recorded for each approved decision; no silent state transition.</x:v>
      </x:c>
      <x:c r="G6" s="10" t="str">
        <x:v>HIGH</x:v>
      </x:c>
      <x:c r="H6" s="10" t="str">
        <x:v>G0</x:v>
      </x:c>
      <x:c r="I6" s="10" t="str">
        <x:v>Decision authority</x:v>
      </x:c>
      <x:c r="J6" s="10" t="str">
        <x:v>Each ADR change</x:v>
      </x:c>
      <x:c r="K6" s="10" t="str">
        <x:v>NOT_RUN</x:v>
      </x:c>
      <x:c r="L6" s="10" t="str"/>
      <x:c r="M6" s="10" t="str"/>
    </x:row>
    <x:row r="7" ht="42" customHeight="1">
      <x:c r="A7" s="10" t="str">
        <x:v>VFY-GOV-006</x:v>
      </x:c>
      <x:c r="B7" s="10" t="str">
        <x:v>Governance</x:v>
      </x:c>
      <x:c r="C7" s="10" t="str">
        <x:v>Risk acceptance policy</x:v>
      </x:c>
      <x:c r="D7" s="10" t="str">
        <x:v>Define who may accept which risks and expiry/compensating-control requirements.</x:v>
      </x:c>
      <x:c r="E7" s="10" t="str">
        <x:v>Policy review; risk-register negative tests</x:v>
      </x:c>
      <x:c r="F7" s="10" t="str">
        <x:v>Every accepted risk has authorized approver, rationale, compensating controls and expiry; critical release controls cannot be waived by this gate.</x:v>
      </x:c>
      <x:c r="G7" s="10" t="str">
        <x:v>CRITICAL</x:v>
      </x:c>
      <x:c r="H7" s="10" t="str">
        <x:v>G0</x:v>
      </x:c>
      <x:c r="I7" s="10" t="str">
        <x:v>Decision authority</x:v>
      </x:c>
      <x:c r="J7" s="10" t="str">
        <x:v>Quarterly</x:v>
      </x:c>
      <x:c r="K7" s="10" t="str">
        <x:v>NOT_RUN</x:v>
      </x:c>
      <x:c r="L7" s="10" t="str"/>
      <x:c r="M7" s="10" t="str"/>
    </x:row>
    <x:row r="8" ht="42" customHeight="1">
      <x:c r="A8" s="10" t="str">
        <x:v>VFY-GOV-007</x:v>
      </x:c>
      <x:c r="B8" s="10" t="str">
        <x:v>Governance</x:v>
      </x:c>
      <x:c r="C8" s="10" t="str">
        <x:v>Evidence integrity and retention</x:v>
      </x:c>
      <x:c r="D8" s="10" t="str">
        <x:v>Evidence must be traceable, reviewable, appropriately protected and retained.</x:v>
      </x:c>
      <x:c r="E8" s="10" t="str">
        <x:v>Evidence sample audit + hash validation</x:v>
      </x:c>
      <x:c r="F8" s="10" t="str">
        <x:v>Each PASS links to current artifact tied to build/environment with reviewer and approval where required.</x:v>
      </x:c>
      <x:c r="G8" s="10" t="str">
        <x:v>HIGH</x:v>
      </x:c>
      <x:c r="H8" s="10" t="str">
        <x:v>G0</x:v>
      </x:c>
      <x:c r="I8" s="10" t="str">
        <x:v>QA/verification owner</x:v>
      </x:c>
      <x:c r="J8" s="10" t="str">
        <x:v>Each release</x:v>
      </x:c>
      <x:c r="K8" s="10" t="str">
        <x:v>NOT_RUN</x:v>
      </x:c>
      <x:c r="L8" s="10" t="str"/>
      <x:c r="M8" s="10" t="str"/>
    </x:row>
    <x:row r="9" ht="42" customHeight="1">
      <x:c r="A9" s="10" t="str">
        <x:v>VFY-GOV-008</x:v>
      </x:c>
      <x:c r="B9" s="10" t="str">
        <x:v>Governance</x:v>
      </x:c>
      <x:c r="C9" s="10" t="str">
        <x:v>AI-assisted changes governed</x:v>
      </x:c>
      <x:c r="D9" s="10" t="str">
        <x:v>AI-generated decisions/code are proposals until reviewed and tested under same controls.</x:v>
      </x:c>
      <x:c r="E9" s="10" t="str">
        <x:v>PR sampling and policy review</x:v>
      </x:c>
      <x:c r="F9" s="10" t="str">
        <x:v>No AI output self-approves an ADR, control, clinical interpretation or risk exception.</x:v>
      </x:c>
      <x:c r="G9" s="10" t="str">
        <x:v>MEDIUM</x:v>
      </x:c>
      <x:c r="H9" s="10" t="str">
        <x:v>G0</x:v>
      </x:c>
      <x:c r="I9" s="10" t="str">
        <x:v>Engineering owner</x:v>
      </x:c>
      <x:c r="J9" s="10" t="str">
        <x:v>Each AI-assisted change</x:v>
      </x:c>
      <x:c r="K9" s="10" t="str">
        <x:v>NOT_RUN</x:v>
      </x:c>
      <x:c r="L9" s="10" t="str"/>
      <x:c r="M9" s="10" t="str"/>
    </x:row>
    <x:row r="10" ht="42" customHeight="1">
      <x:c r="A10" s="10" t="str">
        <x:v>VFY-REQ-001</x:v>
      </x:c>
      <x:c r="B10" s="10" t="str">
        <x:v>Requirements</x:v>
      </x:c>
      <x:c r="C10" s="10" t="str">
        <x:v>User need and acceptance</x:v>
      </x:c>
      <x:c r="D10" s="10" t="str">
        <x:v>Every priority feature traces to a documented user need and measurable acceptance criteria.</x:v>
      </x:c>
      <x:c r="E10" s="10" t="str">
        <x:v>Requirements review and user validation</x:v>
      </x:c>
      <x:c r="F10" s="10" t="str">
        <x:v>In-scope P0/P1 features have an identified user, use case, acceptance test and evidence of need.</x:v>
      </x:c>
      <x:c r="G10" s="10" t="str">
        <x:v>HIGH</x:v>
      </x:c>
      <x:c r="H10" s="10" t="str">
        <x:v>G1</x:v>
      </x:c>
      <x:c r="I10" s="10" t="str">
        <x:v>Product/system owner</x:v>
      </x:c>
      <x:c r="J10" s="10" t="str">
        <x:v>On change / periodic</x:v>
      </x:c>
      <x:c r="K10" s="10" t="str">
        <x:v>NOT_RUN</x:v>
      </x:c>
      <x:c r="L10" s="10" t="str"/>
      <x:c r="M10" s="10" t="str"/>
    </x:row>
    <x:row r="11" ht="42" customHeight="1">
      <x:c r="A11" s="10" t="str">
        <x:v>VFY-ARC-001</x:v>
      </x:c>
      <x:c r="B11" s="10" t="str">
        <x:v>Architecture</x:v>
      </x:c>
      <x:c r="C11" s="10" t="str">
        <x:v>Trust boundaries and data flows</x:v>
      </x:c>
      <x:c r="D11" s="10" t="str">
        <x:v>Map all major components, trust boundaries, data classes, external flows and privileged paths.</x:v>
      </x:c>
      <x:c r="E11" s="10" t="str">
        <x:v>Architecture/security workshop; diagram review</x:v>
      </x:c>
      <x:c r="F11" s="10" t="str">
        <x:v>No in-scope flow or privileged pathway is undocumented; diagrams match actual proposed stack.</x:v>
      </x:c>
      <x:c r="G11" s="10" t="str">
        <x:v>CRITICAL</x:v>
      </x:c>
      <x:c r="H11" s="10" t="str">
        <x:v>G1</x:v>
      </x:c>
      <x:c r="I11" s="10" t="str">
        <x:v>Architecture owner</x:v>
      </x:c>
      <x:c r="J11" s="10" t="str">
        <x:v>On change / periodic</x:v>
      </x:c>
      <x:c r="K11" s="10" t="str">
        <x:v>NOT_RUN</x:v>
      </x:c>
      <x:c r="L11" s="10" t="str"/>
      <x:c r="M11" s="10" t="str"/>
    </x:row>
    <x:row r="12" ht="42" customHeight="1">
      <x:c r="A12" s="10" t="str">
        <x:v>VFY-ARC-002</x:v>
      </x:c>
      <x:c r="B12" s="10" t="str">
        <x:v>Architecture</x:v>
      </x:c>
      <x:c r="C12" s="10" t="str">
        <x:v>Domain/data ownership</x:v>
      </x:c>
      <x:c r="D12" s="10" t="str">
        <x:v>Each domain has clear write ownership, invariants and cross-domain interaction rules.</x:v>
      </x:c>
      <x:c r="E12" s="10" t="str">
        <x:v>Domain map to workflow/data-map trace review</x:v>
      </x:c>
      <x:c r="F12" s="10" t="str">
        <x:v>No conflicting writer or orphan domain/workflow/data entity remains without approved resolution.</x:v>
      </x:c>
      <x:c r="G12" s="10" t="str">
        <x:v>HIGH</x:v>
      </x:c>
      <x:c r="H12" s="10" t="str">
        <x:v>G1</x:v>
      </x:c>
      <x:c r="I12" s="10" t="str">
        <x:v>Architecture owner</x:v>
      </x:c>
      <x:c r="J12" s="10" t="str">
        <x:v>On change / periodic</x:v>
      </x:c>
      <x:c r="K12" s="10" t="str">
        <x:v>NOT_RUN</x:v>
      </x:c>
      <x:c r="L12" s="10" t="str"/>
      <x:c r="M12" s="10" t="str"/>
    </x:row>
    <x:row r="13" ht="42" customHeight="1">
      <x:c r="A13" s="10" t="str">
        <x:v>VFY-ARC-003</x:v>
      </x:c>
      <x:c r="B13" s="10" t="str">
        <x:v>Architecture</x:v>
      </x:c>
      <x:c r="C13" s="10" t="str">
        <x:v>Failure and degradation design</x:v>
      </x:c>
      <x:c r="D13" s="10" t="str">
        <x:v>Every critical workflow defines timeout, failure, retry, partial completion, cancellation and recovery semantics.</x:v>
      </x:c>
      <x:c r="E13" s="10" t="str">
        <x:v>Workflow/sequence review and failure-injection design</x:v>
      </x:c>
      <x:c r="F13" s="10" t="str">
        <x:v>Each critical workflow has documented failure path and user-visible state; no ambiguous silent success.</x:v>
      </x:c>
      <x:c r="G13" s="10" t="str">
        <x:v>HIGH</x:v>
      </x:c>
      <x:c r="H13" s="10" t="str">
        <x:v>G1</x:v>
      </x:c>
      <x:c r="I13" s="10" t="str">
        <x:v>Architecture owner</x:v>
      </x:c>
      <x:c r="J13" s="10" t="str">
        <x:v>On change / periodic</x:v>
      </x:c>
      <x:c r="K13" s="10" t="str">
        <x:v>NOT_RUN</x:v>
      </x:c>
      <x:c r="L13" s="10" t="str"/>
      <x:c r="M13" s="10" t="str"/>
    </x:row>
    <x:row r="14" ht="42" customHeight="1">
      <x:c r="A14" s="10" t="str">
        <x:v>VFY-ARC-004</x:v>
      </x:c>
      <x:c r="B14" s="10" t="str">
        <x:v>Architecture</x:v>
      </x:c>
      <x:c r="C14" s="10" t="str">
        <x:v>Technology choices and exit plan</x:v>
      </x:c>
      <x:c r="D14" s="10" t="str">
        <x:v>Major technologies have current rationale, operating cost, alternatives, vendor lock-in and exit/migration approach.</x:v>
      </x:c>
      <x:c r="E14" s="10" t="str">
        <x:v>ADR evidence review</x:v>
      </x:c>
      <x:c r="F14" s="10" t="str">
        <x:v>Each major choice has owner, current evidence, conditions/trigger to revisit, and migration/exit notes.</x:v>
      </x:c>
      <x:c r="G14" s="10" t="str">
        <x:v>MEDIUM</x:v>
      </x:c>
      <x:c r="H14" s="10" t="str">
        <x:v>G1</x:v>
      </x:c>
      <x:c r="I14" s="10" t="str">
        <x:v>Architecture owner</x:v>
      </x:c>
      <x:c r="J14" s="10" t="str">
        <x:v>Annual / major version change</x:v>
      </x:c>
      <x:c r="K14" s="10" t="str">
        <x:v>NOT_RUN</x:v>
      </x:c>
      <x:c r="L14" s="10" t="str"/>
      <x:c r="M14" s="10" t="str"/>
    </x:row>
    <x:row r="15" ht="42" customHeight="1">
      <x:c r="A15" s="10" t="str">
        <x:v>VFY-ARC-005</x:v>
      </x:c>
      <x:c r="B15" s="10" t="str">
        <x:v>Architecture</x:v>
      </x:c>
      <x:c r="C15" s="10" t="str">
        <x:v>Environment and build reproducibility</x:v>
      </x:c>
      <x:c r="D15" s="10" t="str">
        <x:v>Design a reproducible, isolated dev/test/staging/prod setup and record configuration provenance.</x:v>
      </x:c>
      <x:c r="E15" s="10" t="str">
        <x:v>Architecture review and clean-build prototype plan</x:v>
      </x:c>
      <x:c r="F15" s="10" t="str">
        <x:v>Build and deployment can be reproduced from versioned config without committed secrets.</x:v>
      </x:c>
      <x:c r="G15" s="10" t="str">
        <x:v>HIGH</x:v>
      </x:c>
      <x:c r="H15" s="10" t="str">
        <x:v>G1</x:v>
      </x:c>
      <x:c r="I15" s="10" t="str">
        <x:v>Engineering owner</x:v>
      </x:c>
      <x:c r="J15" s="10" t="str">
        <x:v>On change / periodic</x:v>
      </x:c>
      <x:c r="K15" s="10" t="str">
        <x:v>NOT_RUN</x:v>
      </x:c>
      <x:c r="L15" s="10" t="str"/>
      <x:c r="M15" s="10" t="str"/>
    </x:row>
    <x:row r="16" ht="42" customHeight="1">
      <x:c r="A16" s="10" t="str">
        <x:v>VFY-SEC-001</x:v>
      </x:c>
      <x:c r="B16" s="10" t="str">
        <x:v>Security</x:v>
      </x:c>
      <x:c r="C16" s="10" t="str">
        <x:v>Threat model coverage</x:v>
      </x:c>
      <x:c r="D16" s="10" t="str">
        <x:v>Threat model covers data plane/control plane, integrations, support, jobs, backups and telemetry.</x:v>
      </x:c>
      <x:c r="E16" s="10" t="str">
        <x:v>Independent threat-model review</x:v>
      </x:c>
      <x:c r="F16" s="10" t="str">
        <x:v>Threats, abuse cases, mitigations, owners and verification tests exist for all major trust boundaries.</x:v>
      </x:c>
      <x:c r="G16" s="10" t="str">
        <x:v>CRITICAL</x:v>
      </x:c>
      <x:c r="H16" s="10" t="str">
        <x:v>G1</x:v>
      </x:c>
      <x:c r="I16" s="10" t="str">
        <x:v>Security lead</x:v>
      </x:c>
      <x:c r="J16" s="10" t="str">
        <x:v>On any significant change</x:v>
      </x:c>
      <x:c r="K16" s="10" t="str">
        <x:v>NOT_RUN</x:v>
      </x:c>
      <x:c r="L16" s="10" t="str"/>
      <x:c r="M16" s="10" t="str"/>
    </x:row>
    <x:row r="17" ht="42" customHeight="1">
      <x:c r="A17" s="10" t="str">
        <x:v>VFY-SEC-002</x:v>
      </x:c>
      <x:c r="B17" s="10" t="str">
        <x:v>Security</x:v>
      </x:c>
      <x:c r="C17" s="10" t="str">
        <x:v>Identity and session lifecycle</x:v>
      </x:c>
      <x:c r="D17" s="10" t="str">
        <x:v>Design secure authentication, session expiry/revocation, MFA for privileged access, and account lifecycle.</x:v>
      </x:c>
      <x:c r="E17" s="10" t="str">
        <x:v>Identity design review and abuse-case planning</x:v>
      </x:c>
      <x:c r="F17" s="10" t="str">
        <x:v>Account provisioning, suspension, recovery, revocation and privileged MFA behavior are explicit and testable.</x:v>
      </x:c>
      <x:c r="G17" s="10" t="str">
        <x:v>HIGH</x:v>
      </x:c>
      <x:c r="H17" s="10" t="str">
        <x:v>G1</x:v>
      </x:c>
      <x:c r="I17" s="10" t="str">
        <x:v>Security lead</x:v>
      </x:c>
      <x:c r="J17" s="10" t="str">
        <x:v>On change / periodic</x:v>
      </x:c>
      <x:c r="K17" s="10" t="str">
        <x:v>NOT_RUN</x:v>
      </x:c>
      <x:c r="L17" s="10" t="str"/>
      <x:c r="M17" s="10" t="str"/>
    </x:row>
    <x:row r="18" ht="42" customHeight="1">
      <x:c r="A18" s="10" t="str">
        <x:v>VFY-SEC-003</x:v>
      </x:c>
      <x:c r="B18" s="10" t="str">
        <x:v>Security</x:v>
      </x:c>
      <x:c r="C18" s="10" t="str">
        <x:v>Authorization model</x:v>
      </x:c>
      <x:c r="D18" s="10" t="str">
        <x:v>Map roles, relationships, purpose-of-use, consent and actions to explicit policy decisions.</x:v>
      </x:c>
      <x:c r="E18" s="10" t="str">
        <x:v>Policy matrix review and decision-table generation</x:v>
      </x:c>
      <x:c r="F18" s="10" t="str">
        <x:v>Every sensitive operation has explicit allow/deny rules, default deny and a verification scenario.</x:v>
      </x:c>
      <x:c r="G18" s="10" t="str">
        <x:v>CRITICAL</x:v>
      </x:c>
      <x:c r="H18" s="10" t="str">
        <x:v>G1</x:v>
      </x:c>
      <x:c r="I18" s="10" t="str">
        <x:v>Security lead</x:v>
      </x:c>
      <x:c r="J18" s="10" t="str">
        <x:v>On change / periodic</x:v>
      </x:c>
      <x:c r="K18" s="10" t="str">
        <x:v>NOT_RUN</x:v>
      </x:c>
      <x:c r="L18" s="10" t="str"/>
      <x:c r="M18" s="10" t="str"/>
    </x:row>
    <x:row r="19" ht="42" customHeight="1">
      <x:c r="A19" s="10" t="str">
        <x:v>VFY-SEC-004</x:v>
      </x:c>
      <x:c r="B19" s="10" t="str">
        <x:v>Security</x:v>
      </x:c>
      <x:c r="C19" s="10" t="str">
        <x:v>Tenant isolation architecture</x:v>
      </x:c>
      <x:c r="D19" s="10" t="str">
        <x:v>Define trusted tenant context and enforce isolation at applicable service and data layers.</x:v>
      </x:c>
      <x:c r="E19" s="10" t="str">
        <x:v>Adversarial architecture review</x:v>
      </x:c>
      <x:c r="F19" s="10" t="str">
        <x:v>No client-controlled tenant selector is sufficient authority; cross-tenant access paths are enumerated.</x:v>
      </x:c>
      <x:c r="G19" s="10" t="str">
        <x:v>CRITICAL</x:v>
      </x:c>
      <x:c r="H19" s="10" t="str">
        <x:v>G1</x:v>
      </x:c>
      <x:c r="I19" s="10" t="str">
        <x:v>Security lead</x:v>
      </x:c>
      <x:c r="J19" s="10" t="str">
        <x:v>On change / periodic</x:v>
      </x:c>
      <x:c r="K19" s="10" t="str">
        <x:v>NOT_RUN</x:v>
      </x:c>
      <x:c r="L19" s="10" t="str"/>
      <x:c r="M19" s="10" t="str"/>
    </x:row>
    <x:row r="20" ht="42" customHeight="1">
      <x:c r="A20" s="10" t="str">
        <x:v>VFY-SEC-005</x:v>
      </x:c>
      <x:c r="B20" s="10" t="str">
        <x:v>Security</x:v>
      </x:c>
      <x:c r="C20" s="10" t="str">
        <x:v>Privileged/break-glass design</x:v>
      </x:c>
      <x:c r="D20" s="10" t="str">
        <x:v>Emergency elevation has reason, scope, duration, alerting, audit and review.</x:v>
      </x:c>
      <x:c r="E20" s="10" t="str">
        <x:v>Design review and misuse-case review</x:v>
      </x:c>
      <x:c r="F20" s="10" t="str">
        <x:v>No unbounded silent elevation; expiry/revocation and post-use review are defined.</x:v>
      </x:c>
      <x:c r="G20" s="10" t="str">
        <x:v>CRITICAL</x:v>
      </x:c>
      <x:c r="H20" s="10" t="str">
        <x:v>G1</x:v>
      </x:c>
      <x:c r="I20" s="10" t="str">
        <x:v>Security lead</x:v>
      </x:c>
      <x:c r="J20" s="10" t="str">
        <x:v>On change / periodic</x:v>
      </x:c>
      <x:c r="K20" s="10" t="str">
        <x:v>NOT_RUN</x:v>
      </x:c>
      <x:c r="L20" s="10" t="str"/>
      <x:c r="M20" s="10" t="str"/>
    </x:row>
    <x:row r="21" ht="42" customHeight="1">
      <x:c r="A21" s="10" t="str">
        <x:v>VFY-PRIV-001</x:v>
      </x:c>
      <x:c r="B21" s="10" t="str">
        <x:v>Privacy</x:v>
      </x:c>
      <x:c r="C21" s="10" t="str">
        <x:v>Data inventory and purpose</x:v>
      </x:c>
      <x:c r="D21" s="10" t="str">
        <x:v>Identify data categories, purposes, roles, recipients, processing locations and retention needs.</x:v>
      </x:c>
      <x:c r="E21" s="10" t="str">
        <x:v>Data-flow/privacy review</x:v>
      </x:c>
      <x:c r="F21" s="10" t="str">
        <x:v>In-scope data flows and accountable controller/processor roles are documented and reviewed.</x:v>
      </x:c>
      <x:c r="G21" s="10" t="str">
        <x:v>HIGH</x:v>
      </x:c>
      <x:c r="H21" s="10" t="str">
        <x:v>G1</x:v>
      </x:c>
      <x:c r="I21" s="10" t="str">
        <x:v>Privacy/legal owner</x:v>
      </x:c>
      <x:c r="J21" s="10" t="str">
        <x:v>On change / periodic</x:v>
      </x:c>
      <x:c r="K21" s="10" t="str">
        <x:v>NOT_RUN</x:v>
      </x:c>
      <x:c r="L21" s="10" t="str"/>
      <x:c r="M21" s="10" t="str"/>
    </x:row>
    <x:row r="22" ht="42" customHeight="1">
      <x:c r="A22" s="10" t="str">
        <x:v>VFY-PRIV-002</x:v>
      </x:c>
      <x:c r="B22" s="10" t="str">
        <x:v>Privacy</x:v>
      </x:c>
      <x:c r="C22" s="10" t="str">
        <x:v>Jurisdiction applicability</x:v>
      </x:c>
      <x:c r="D22" s="10" t="str">
        <x:v>Map applicable laws/contracts to actual launch scope and data flows.</x:v>
      </x:c>
      <x:c r="E22" s="10" t="str">
        <x:v>Qualified local legal review</x:v>
      </x:c>
      <x:c r="F22" s="10" t="str">
        <x:v>Each target jurisdiction has a documented applicability determination; unresolved issues are clearly blockers.</x:v>
      </x:c>
      <x:c r="G22" s="10" t="str">
        <x:v>CRITICAL</x:v>
      </x:c>
      <x:c r="H22" s="10" t="str">
        <x:v>G1</x:v>
      </x:c>
      <x:c r="I22" s="10" t="str">
        <x:v>Privacy/legal owner</x:v>
      </x:c>
      <x:c r="J22" s="10" t="str">
        <x:v>New jurisdiction / law change</x:v>
      </x:c>
      <x:c r="K22" s="10" t="str">
        <x:v>NOT_RUN</x:v>
      </x:c>
      <x:c r="L22" s="10" t="str"/>
      <x:c r="M22" s="10" t="str"/>
    </x:row>
    <x:row r="23" ht="42" customHeight="1">
      <x:c r="A23" s="10" t="str">
        <x:v>VFY-CLIN-001</x:v>
      </x:c>
      <x:c r="B23" s="10" t="str">
        <x:v>Clinical safety</x:v>
      </x:c>
      <x:c r="C23" s="10" t="str">
        <x:v>Intended clinical use and hazards</x:v>
      </x:c>
      <x:c r="D23" s="10" t="str">
        <x:v>Define intended use, foreseeable misuse, hazard log, harm severity and mitigation ownership.</x:v>
      </x:c>
      <x:c r="E23" s="10" t="str">
        <x:v>Clinical safety workshop and independent review</x:v>
      </x:c>
      <x:c r="F23" s="10" t="str">
        <x:v>Relevant hazards have traceable requirements, mitigations and verification plans; unacceptable hazards block launch.</x:v>
      </x:c>
      <x:c r="G23" s="10" t="str">
        <x:v>CRITICAL</x:v>
      </x:c>
      <x:c r="H23" s="10" t="str">
        <x:v>G1</x:v>
      </x:c>
      <x:c r="I23" s="10" t="str">
        <x:v>Clinical safety lead</x:v>
      </x:c>
      <x:c r="J23" s="10" t="str">
        <x:v>New clinical function</x:v>
      </x:c>
      <x:c r="K23" s="10" t="str">
        <x:v>NOT_RUN</x:v>
      </x:c>
      <x:c r="L23" s="10" t="str"/>
      <x:c r="M23" s="10" t="str"/>
    </x:row>
    <x:row r="24" ht="42" customHeight="1">
      <x:c r="A24" s="10" t="str">
        <x:v>VFY-DATA-001</x:v>
      </x:c>
      <x:c r="B24" s="10" t="str">
        <x:v>Data integrity</x:v>
      </x:c>
      <x:c r="C24" s="10" t="str">
        <x:v>Data invariants and ownership</x:v>
      </x:c>
      <x:c r="D24" s="10" t="str">
        <x:v>Specify invariants for identity, clinical records, money, audit logs, ordering and message idempotency.</x:v>
      </x:c>
      <x:c r="E24" s="10" t="str">
        <x:v>Invariant review with domain owners</x:v>
      </x:c>
      <x:c r="F24" s="10" t="str">
        <x:v>Every high-impact entity has invariants and tests planned for concurrency, duplicate, amendment and deletion behavior.</x:v>
      </x:c>
      <x:c r="G24" s="10" t="str">
        <x:v>CRITICAL</x:v>
      </x:c>
      <x:c r="H24" s="10" t="str">
        <x:v>G1</x:v>
      </x:c>
      <x:c r="I24" s="10" t="str">
        <x:v>Architecture owner</x:v>
      </x:c>
      <x:c r="J24" s="10" t="str">
        <x:v>On change / periodic</x:v>
      </x:c>
      <x:c r="K24" s="10" t="str">
        <x:v>NOT_RUN</x:v>
      </x:c>
      <x:c r="L24" s="10" t="str"/>
      <x:c r="M24" s="10" t="str"/>
    </x:row>
    <x:row r="25" ht="42" customHeight="1">
      <x:c r="A25" s="10" t="str">
        <x:v>VFY-API-001</x:v>
      </x:c>
      <x:c r="B25" s="10" t="str">
        <x:v>Interoperability</x:v>
      </x:c>
      <x:c r="C25" s="10" t="str">
        <x:v>External standards profile</x:v>
      </x:c>
      <x:c r="D25" s="10" t="str">
        <x:v>Specify exact protocol/version/profile, counterparty, terminology mappings, consent and error handling.</x:v>
      </x:c>
      <x:c r="E25" s="10" t="str">
        <x:v>Contract/profile review with integration partner</x:v>
      </x:c>
      <x:c r="F25" s="10" t="str">
        <x:v>No unqualified “supports FHIR/HL7/DICOM” claim; compatibility profile and counterpart test plan are explicit.</x:v>
      </x:c>
      <x:c r="G25" s="10" t="str">
        <x:v>HIGH</x:v>
      </x:c>
      <x:c r="H25" s="10" t="str">
        <x:v>G1</x:v>
      </x:c>
      <x:c r="I25" s="10" t="str">
        <x:v>Interoperability owner</x:v>
      </x:c>
      <x:c r="J25" s="10" t="str">
        <x:v>On change / periodic</x:v>
      </x:c>
      <x:c r="K25" s="10" t="str">
        <x:v>NOT_RUN</x:v>
      </x:c>
      <x:c r="L25" s="10" t="str"/>
      <x:c r="M25" s="10" t="str"/>
    </x:row>
    <x:row r="26" ht="42" customHeight="1">
      <x:c r="A26" s="10" t="str">
        <x:v>VFY-OPS-001</x:v>
      </x:c>
      <x:c r="B26" s="10" t="str">
        <x:v>Operations</x:v>
      </x:c>
      <x:c r="C26" s="10" t="str">
        <x:v>Business-approved SLO/RTO/RPO</x:v>
      </x:c>
      <x:c r="D26" s="10" t="str">
        <x:v>Set service objectives and recovery targets from impact analysis, not aspirational guesses.</x:v>
      </x:c>
      <x:c r="E26" s="10" t="str">
        <x:v>Business-impact analysis and owner sign-off</x:v>
      </x:c>
      <x:c r="F26" s="10" t="str">
        <x:v>Each critical journey/data tier has owner-approved measurable SLO, RTO and RPO or an explicit pending status.</x:v>
      </x:c>
      <x:c r="G26" s="10" t="str">
        <x:v>HIGH</x:v>
      </x:c>
      <x:c r="H26" s="10" t="str">
        <x:v>G1</x:v>
      </x:c>
      <x:c r="I26" s="10" t="str">
        <x:v>Operations owner</x:v>
      </x:c>
      <x:c r="J26" s="10" t="str">
        <x:v>On change / periodic</x:v>
      </x:c>
      <x:c r="K26" s="10" t="str">
        <x:v>NOT_RUN</x:v>
      </x:c>
      <x:c r="L26" s="10" t="str"/>
      <x:c r="M26" s="10" t="str"/>
    </x:row>
    <x:row r="27" ht="42" customHeight="1">
      <x:c r="A27" s="10" t="str">
        <x:v>VFY-UX-001</x:v>
      </x:c>
      <x:c r="B27" s="10" t="str">
        <x:v>Usability</x:v>
      </x:c>
      <x:c r="C27" s="10" t="str">
        <x:v>Representative workflow design</x:v>
      </x:c>
      <x:c r="D27" s="10" t="str">
        <x:v>Design for real roles, language, accessibility, interruptions and error recovery.</x:v>
      </x:c>
      <x:c r="E27" s="10" t="str">
        <x:v>Prototype review with representative users</x:v>
      </x:c>
      <x:c r="F27" s="10" t="str">
        <x:v>Critical tasks and error recovery have testable criteria and representative-user validation plan.</x:v>
      </x:c>
      <x:c r="G27" s="10" t="str">
        <x:v>MEDIUM</x:v>
      </x:c>
      <x:c r="H27" s="10" t="str">
        <x:v>G1</x:v>
      </x:c>
      <x:c r="I27" s="10" t="str">
        <x:v>Product/system owner</x:v>
      </x:c>
      <x:c r="J27" s="10" t="str">
        <x:v>On change / periodic</x:v>
      </x:c>
      <x:c r="K27" s="10" t="str">
        <x:v>NOT_RUN</x:v>
      </x:c>
      <x:c r="L27" s="10" t="str"/>
      <x:c r="M27" s="10" t="str"/>
    </x:row>
    <x:row r="28" ht="42" customHeight="1">
      <x:c r="A28" s="10" t="str">
        <x:v>VFY-BUILD-001</x:v>
      </x:c>
      <x:c r="B28" s="10" t="str">
        <x:v>Build/SDLC</x:v>
      </x:c>
      <x:c r="C28" s="10" t="str">
        <x:v>Clean reproducible build</x:v>
      </x:c>
      <x:c r="D28" s="10" t="str">
        <x:v>Build exact source revision in a clean controlled environment.</x:v>
      </x:c>
      <x:c r="E28" s="10" t="str">
        <x:v>CI clean build; dependency lock verification</x:v>
      </x:c>
      <x:c r="F28" s="10" t="str">
        <x:v>Build succeeds reproducibly and artifact is tied to commit/toolchain/config; no undocumented manual steps.</x:v>
      </x:c>
      <x:c r="G28" s="10" t="str">
        <x:v>HIGH</x:v>
      </x:c>
      <x:c r="H28" s="10" t="str">
        <x:v>G2</x:v>
      </x:c>
      <x:c r="I28" s="10" t="str">
        <x:v>Engineering owner</x:v>
      </x:c>
      <x:c r="J28" s="10" t="str">
        <x:v>Every change/release</x:v>
      </x:c>
      <x:c r="K28" s="10" t="str">
        <x:v>NOT_RUN</x:v>
      </x:c>
      <x:c r="L28" s="10" t="str"/>
      <x:c r="M28" s="10" t="str"/>
    </x:row>
    <x:row r="29" ht="42" customHeight="1">
      <x:c r="A29" s="10" t="str">
        <x:v>VFY-TEST-001</x:v>
      </x:c>
      <x:c r="B29" s="10" t="str">
        <x:v>Testing</x:v>
      </x:c>
      <x:c r="C29" s="10" t="str">
        <x:v>Unit tests for domain invariants</x:v>
      </x:c>
      <x:c r="D29" s="10" t="str">
        <x:v>Test domain rules and calculations, not only line execution.</x:v>
      </x:c>
      <x:c r="E29" s="10" t="str">
        <x:v>Unit/property tests and mutation sampling</x:v>
      </x:c>
      <x:c r="F29" s="10" t="str">
        <x:v>Critical invariants have meaningful pass/fail assertions; material mutants or injected faults are detected.</x:v>
      </x:c>
      <x:c r="G29" s="10" t="str">
        <x:v>HIGH</x:v>
      </x:c>
      <x:c r="H29" s="10" t="str">
        <x:v>G2</x:v>
      </x:c>
      <x:c r="I29" s="10" t="str">
        <x:v>QA/verification owner</x:v>
      </x:c>
      <x:c r="J29" s="10" t="str">
        <x:v>Every change</x:v>
      </x:c>
      <x:c r="K29" s="10" t="str">
        <x:v>NOT_RUN</x:v>
      </x:c>
      <x:c r="L29" s="10" t="str"/>
      <x:c r="M29" s="10" t="str"/>
    </x:row>
    <x:row r="30" ht="42" customHeight="1">
      <x:c r="A30" s="10" t="str">
        <x:v>VFY-TEST-002</x:v>
      </x:c>
      <x:c r="B30" s="10" t="str">
        <x:v>Testing</x:v>
      </x:c>
      <x:c r="C30" s="10" t="str">
        <x:v>Integration/contract tests</x:v>
      </x:c>
      <x:c r="D30" s="10" t="str">
        <x:v>Test databases, queues, identity, object store and external APIs including version/error contracts.</x:v>
      </x:c>
      <x:c r="E30" s="10" t="str">
        <x:v>Automated integration and contract tests</x:v>
      </x:c>
      <x:c r="F30" s="10" t="str">
        <x:v>Critical contracts tested on accepted versions; incompatibility and timeout paths fail safely.</x:v>
      </x:c>
      <x:c r="G30" s="10" t="str">
        <x:v>HIGH</x:v>
      </x:c>
      <x:c r="H30" s="10" t="str">
        <x:v>G2</x:v>
      </x:c>
      <x:c r="I30" s="10" t="str">
        <x:v>QA/verification owner</x:v>
      </x:c>
      <x:c r="J30" s="10" t="str">
        <x:v>Every integration change</x:v>
      </x:c>
      <x:c r="K30" s="10" t="str">
        <x:v>NOT_RUN</x:v>
      </x:c>
      <x:c r="L30" s="10" t="str"/>
      <x:c r="M30" s="10" t="str"/>
    </x:row>
    <x:row r="31" ht="42" customHeight="1">
      <x:c r="A31" s="10" t="str">
        <x:v>VFY-TEST-003</x:v>
      </x:c>
      <x:c r="B31" s="10" t="str">
        <x:v>Testing</x:v>
      </x:c>
      <x:c r="C31" s="10" t="str">
        <x:v>End-to-end critical workflows</x:v>
      </x:c>
      <x:c r="D31" s="10" t="str">
        <x:v>Test representative workflows from authentication through persisted state and audit.</x:v>
      </x:c>
      <x:c r="E31" s="10" t="str">
        <x:v>E2E tests with synthetic data</x:v>
      </x:c>
      <x:c r="F31" s="10" t="str">
        <x:v>All release-critical workflows pass, including validation, denial, cancellation, retry and partial failure.</x:v>
      </x:c>
      <x:c r="G31" s="10" t="str">
        <x:v>CRITICAL</x:v>
      </x:c>
      <x:c r="H31" s="10" t="str">
        <x:v>G2</x:v>
      </x:c>
      <x:c r="I31" s="10" t="str">
        <x:v>QA/verification owner</x:v>
      </x:c>
      <x:c r="J31" s="10" t="str">
        <x:v>Every release</x:v>
      </x:c>
      <x:c r="K31" s="10" t="str">
        <x:v>NOT_RUN</x:v>
      </x:c>
      <x:c r="L31" s="10" t="str"/>
      <x:c r="M31" s="10" t="str"/>
    </x:row>
    <x:row r="32" ht="42" customHeight="1">
      <x:c r="A32" s="10" t="str">
        <x:v>VFY-TEST-004</x:v>
      </x:c>
      <x:c r="B32" s="10" t="str">
        <x:v>Testing</x:v>
      </x:c>
      <x:c r="C32" s="10" t="str">
        <x:v>Negative authorization tests</x:v>
      </x:c>
      <x:c r="D32" s="10" t="str">
        <x:v>Exercise all sensitive operations with missing, wrong-role, wrong-tenant, expired and revoked credentials.</x:v>
      </x:c>
      <x:c r="E32" s="10" t="str">
        <x:v>Automated negative tests and adversarial review</x:v>
      </x:c>
      <x:c r="F32" s="10" t="str">
        <x:v>All unauthorized variants deny access and produce no sensitive side effects or data leakage.</x:v>
      </x:c>
      <x:c r="G32" s="10" t="str">
        <x:v>CRITICAL</x:v>
      </x:c>
      <x:c r="H32" s="10" t="str">
        <x:v>G2</x:v>
      </x:c>
      <x:c r="I32" s="10" t="str">
        <x:v>Security lead</x:v>
      </x:c>
      <x:c r="J32" s="10" t="str">
        <x:v>Every authorization change</x:v>
      </x:c>
      <x:c r="K32" s="10" t="str">
        <x:v>NOT_RUN</x:v>
      </x:c>
      <x:c r="L32" s="10" t="str"/>
      <x:c r="M32" s="10" t="str"/>
    </x:row>
    <x:row r="33" ht="42" customHeight="1">
      <x:c r="A33" s="10" t="str">
        <x:v>VFY-TEST-005</x:v>
      </x:c>
      <x:c r="B33" s="10" t="str">
        <x:v>Testing</x:v>
      </x:c>
      <x:c r="C33" s="10" t="str">
        <x:v>Concurrency/idempotency</x:v>
      </x:c>
      <x:c r="D33" s="10" t="str">
        <x:v>Test simultaneous edits, duplicate messages, retries, replay and out-of-order delivery.</x:v>
      </x:c>
      <x:c r="E33" s="10" t="str">
        <x:v>Concurrency/property/fault-injection tests</x:v>
      </x:c>
      <x:c r="F33" s="10" t="str">
        <x:v>No silent lost update, duplicate clinical/financial effect, or invalid state transition.</x:v>
      </x:c>
      <x:c r="G33" s="10" t="str">
        <x:v>CRITICAL</x:v>
      </x:c>
      <x:c r="H33" s="10" t="str">
        <x:v>G2</x:v>
      </x:c>
      <x:c r="I33" s="10" t="str">
        <x:v>QA/verification owner</x:v>
      </x:c>
      <x:c r="J33" s="10" t="str">
        <x:v>Every affected workflow</x:v>
      </x:c>
      <x:c r="K33" s="10" t="str">
        <x:v>NOT_RUN</x:v>
      </x:c>
      <x:c r="L33" s="10" t="str"/>
      <x:c r="M33" s="10" t="str"/>
    </x:row>
    <x:row r="34" ht="42" customHeight="1">
      <x:c r="A34" s="10" t="str">
        <x:v>VFY-SEC-006</x:v>
      </x:c>
      <x:c r="B34" s="10" t="str">
        <x:v>Security</x:v>
      </x:c>
      <x:c r="C34" s="10" t="str">
        <x:v>SAST, dependency and secret checks</x:v>
      </x:c>
      <x:c r="D34" s="10" t="str">
        <x:v>Run suitable static analysis, dependency vulnerability/licence checks and secret scanning.</x:v>
      </x:c>
      <x:c r="E34" s="10" t="str">
        <x:v>CI scanners and triaged reports</x:v>
      </x:c>
      <x:c r="F34" s="10" t="str">
        <x:v>No untriaged critical/high finding; exceptions documented; exposed secrets rotated, not just removed.</x:v>
      </x:c>
      <x:c r="G34" s="10" t="str">
        <x:v>HIGH</x:v>
      </x:c>
      <x:c r="H34" s="10" t="str">
        <x:v>G2</x:v>
      </x:c>
      <x:c r="I34" s="10" t="str">
        <x:v>Security lead</x:v>
      </x:c>
      <x:c r="J34" s="10" t="str">
        <x:v>Every PR/release</x:v>
      </x:c>
      <x:c r="K34" s="10" t="str">
        <x:v>NOT_RUN</x:v>
      </x:c>
      <x:c r="L34" s="10" t="str"/>
      <x:c r="M34" s="10" t="str"/>
    </x:row>
    <x:row r="35" ht="42" customHeight="1">
      <x:c r="A35" s="10" t="str">
        <x:v>VFY-SEC-007</x:v>
      </x:c>
      <x:c r="B35" s="10" t="str">
        <x:v>Security</x:v>
      </x:c>
      <x:c r="C35" s="10" t="str">
        <x:v>Independent adversarial code audit</x:v>
      </x:c>
      <x:c r="D35" s="10" t="str">
        <x:v>Perform adversarial/forensic review before a phase is marked IMPLEMENTED, consistent with ARGON L15.</x:v>
      </x:c>
      <x:c r="E35" s="10" t="str">
        <x:v>Independent review with reproducible findings</x:v>
      </x:c>
      <x:c r="F35" s="10" t="str">
        <x:v>Build environment verified; independent audit artifact exists; all critical findings closed/retested.</x:v>
      </x:c>
      <x:c r="G35" s="10" t="str">
        <x:v>CRITICAL</x:v>
      </x:c>
      <x:c r="H35" s="10" t="str">
        <x:v>G2</x:v>
      </x:c>
      <x:c r="I35" s="10" t="str">
        <x:v>Security lead</x:v>
      </x:c>
      <x:c r="J35" s="10" t="str">
        <x:v>Each implementation phase</x:v>
      </x:c>
      <x:c r="K35" s="10" t="str">
        <x:v>NOT_RUN</x:v>
      </x:c>
      <x:c r="L35" s="10" t="str"/>
      <x:c r="M35" s="10" t="str"/>
    </x:row>
    <x:row r="36" ht="42" customHeight="1">
      <x:c r="A36" s="10" t="str">
        <x:v>VFY-DATA-002</x:v>
      </x:c>
      <x:c r="B36" s="10" t="str">
        <x:v>Data integrity</x:v>
      </x:c>
      <x:c r="C36" s="10" t="str">
        <x:v>Migration reversibility/reconciliation</x:v>
      </x:c>
      <x:c r="D36" s="10" t="str">
        <x:v>Test migrations against representative scale and preserve invariants/traceability.</x:v>
      </x:c>
      <x:c r="E36" s="10" t="str">
        <x:v>Migration rehearsal and row/field reconciliation</x:v>
      </x:c>
      <x:c r="F36" s="10" t="str">
        <x:v>Migration has backup/rollback or forward-fix plan; counts and critical fields reconcile to pre-approved criteria.</x:v>
      </x:c>
      <x:c r="G36" s="10" t="str">
        <x:v>CRITICAL</x:v>
      </x:c>
      <x:c r="H36" s="10" t="str">
        <x:v>G2</x:v>
      </x:c>
      <x:c r="I36" s="10" t="str">
        <x:v>Data owner</x:v>
      </x:c>
      <x:c r="J36" s="10" t="str">
        <x:v>Every migration</x:v>
      </x:c>
      <x:c r="K36" s="10" t="str">
        <x:v>NOT_RUN</x:v>
      </x:c>
      <x:c r="L36" s="10" t="str"/>
      <x:c r="M36" s="10" t="str"/>
    </x:row>
    <x:row r="37" ht="42" customHeight="1">
      <x:c r="A37" s="10" t="str">
        <x:v>VFY-DATA-003</x:v>
      </x:c>
      <x:c r="B37" s="10" t="str">
        <x:v>Data integrity</x:v>
      </x:c>
      <x:c r="C37" s="10" t="str">
        <x:v>Financial exactness</x:v>
      </x:c>
      <x:c r="D37" s="10" t="str">
        <x:v>Use exact monetary representation and explicit rounding/currency rules.</x:v>
      </x:c>
      <x:c r="E37" s="10" t="str">
        <x:v>Static scan + numeric boundary/property tests</x:v>
      </x:c>
      <x:c r="F37" s="10" t="str">
        <x:v>No floating-point money; rounding, currency, tax, refund and ledger invariants are tested.</x:v>
      </x:c>
      <x:c r="G37" s="10" t="str">
        <x:v>HIGH</x:v>
      </x:c>
      <x:c r="H37" s="10" t="str">
        <x:v>G2</x:v>
      </x:c>
      <x:c r="I37" s="10" t="str">
        <x:v>Finance/domain owner</x:v>
      </x:c>
      <x:c r="J37" s="10" t="str">
        <x:v>Every financial change</x:v>
      </x:c>
      <x:c r="K37" s="10" t="str">
        <x:v>NOT_RUN</x:v>
      </x:c>
      <x:c r="L37" s="10" t="str"/>
      <x:c r="M37" s="10" t="str"/>
    </x:row>
    <x:row r="38" ht="42" customHeight="1">
      <x:c r="A38" s="10" t="str">
        <x:v>VFY-AUD-001</x:v>
      </x:c>
      <x:c r="B38" s="10" t="str">
        <x:v>Auditability</x:v>
      </x:c>
      <x:c r="C38" s="10" t="str">
        <x:v>Audit event completeness and protection</x:v>
      </x:c>
      <x:c r="D38" s="10" t="str">
        <x:v>Record relevant actor/action/subject/tenant/time/context/outcome; protect against silent alteration.</x:v>
      </x:c>
      <x:c r="E38" s="10" t="str">
        <x:v>Event schema tests, authorization tests, tamper test</x:v>
      </x:c>
      <x:c r="F38" s="10" t="str">
        <x:v>Critical mutations emit attributable audit events; unauthorized mutation/deletion is denied or detected.</x:v>
      </x:c>
      <x:c r="G38" s="10" t="str">
        <x:v>CRITICAL</x:v>
      </x:c>
      <x:c r="H38" s="10" t="str">
        <x:v>G2</x:v>
      </x:c>
      <x:c r="I38" s="10" t="str">
        <x:v>Security lead</x:v>
      </x:c>
      <x:c r="J38" s="10" t="str">
        <x:v>Every clinical/admin mutation change</x:v>
      </x:c>
      <x:c r="K38" s="10" t="str">
        <x:v>NOT_RUN</x:v>
      </x:c>
      <x:c r="L38" s="10" t="str"/>
      <x:c r="M38" s="10" t="str"/>
    </x:row>
    <x:row r="39" ht="42" customHeight="1">
      <x:c r="A39" s="10" t="str">
        <x:v>VFY-PRIV-003</x:v>
      </x:c>
      <x:c r="B39" s="10" t="str">
        <x:v>Privacy</x:v>
      </x:c>
      <x:c r="C39" s="10" t="str">
        <x:v>Telemetry minimization</x:v>
      </x:c>
      <x:c r="D39" s="10" t="str">
        <x:v>Prevent PHI, secrets and tokens from entering ordinary logs/metrics/traces/analytics.</x:v>
      </x:c>
      <x:c r="E39" s="10" t="str">
        <x:v>Synthetic canary scan of logs/traces/error reports</x:v>
      </x:c>
      <x:c r="F39" s="10" t="str">
        <x:v>Sensitive canaries absent from standard telemetry; any permitted exception is specifically approved and protected.</x:v>
      </x:c>
      <x:c r="G39" s="10" t="str">
        <x:v>CRITICAL</x:v>
      </x:c>
      <x:c r="H39" s="10" t="str">
        <x:v>G2</x:v>
      </x:c>
      <x:c r="I39" s="10" t="str">
        <x:v>Privacy/legal owner</x:v>
      </x:c>
      <x:c r="J39" s="10" t="str">
        <x:v>Every logging/integration change</x:v>
      </x:c>
      <x:c r="K39" s="10" t="str">
        <x:v>NOT_RUN</x:v>
      </x:c>
      <x:c r="L39" s="10" t="str"/>
      <x:c r="M39" s="10" t="str"/>
    </x:row>
    <x:row r="40" ht="42" customHeight="1">
      <x:c r="A40" s="10" t="str">
        <x:v>VFY-API-002</x:v>
      </x:c>
      <x:c r="B40" s="10" t="str">
        <x:v>Interoperability</x:v>
      </x:c>
      <x:c r="C40" s="10" t="str">
        <x:v>FHIR/HL7/DICOM contract conformance</x:v>
      </x:c>
      <x:c r="D40" s="10" t="str">
        <x:v>Validate actual messages/resources against the chosen profiles and counterpart contract.</x:v>
      </x:c>
      <x:c r="E40" s="10" t="str">
        <x:v>Profile validators + partner sandbox tests + semantic review</x:v>
      </x:c>
      <x:c r="F40" s="10" t="str">
        <x:v>Version/profile and terminology pass; semantic/business rules and failure handling separately verified.</x:v>
      </x:c>
      <x:c r="G40" s="10" t="str">
        <x:v>HIGH</x:v>
      </x:c>
      <x:c r="H40" s="10" t="str">
        <x:v>G2</x:v>
      </x:c>
      <x:c r="I40" s="10" t="str">
        <x:v>Interoperability owner</x:v>
      </x:c>
      <x:c r="J40" s="10" t="str">
        <x:v>Every profile/counterparty change</x:v>
      </x:c>
      <x:c r="K40" s="10" t="str">
        <x:v>NOT_RUN</x:v>
      </x:c>
      <x:c r="L40" s="10" t="str"/>
      <x:c r="M40" s="10" t="str"/>
    </x:row>
    <x:row r="41" ht="42" customHeight="1">
      <x:c r="A41" s="10" t="str">
        <x:v>VFY-UX-002</x:v>
      </x:c>
      <x:c r="B41" s="10" t="str">
        <x:v>Usability</x:v>
      </x:c>
      <x:c r="C41" s="10" t="str">
        <x:v>Form/input/error-state verification</x:v>
      </x:c>
      <x:c r="D41" s="10" t="str">
        <x:v>Validate units, required fields, labels, keyboard/accessibility and safe error recovery.</x:v>
      </x:c>
      <x:c r="E41" s="10" t="str">
        <x:v>Usability testing and accessibility review</x:v>
      </x:c>
      <x:c r="F41" s="10" t="str">
        <x:v>Critical tasks meet pre-approved success/error criteria; users can detect incomplete or stale state.</x:v>
      </x:c>
      <x:c r="G41" s="10" t="str">
        <x:v>MEDIUM</x:v>
      </x:c>
      <x:c r="H41" s="10" t="str">
        <x:v>G2</x:v>
      </x:c>
      <x:c r="I41" s="10" t="str">
        <x:v>Product/system owner</x:v>
      </x:c>
      <x:c r="J41" s="10" t="str">
        <x:v>Major UI change</x:v>
      </x:c>
      <x:c r="K41" s="10" t="str">
        <x:v>NOT_RUN</x:v>
      </x:c>
      <x:c r="L41" s="10" t="str"/>
      <x:c r="M41" s="10" t="str"/>
    </x:row>
    <x:row r="42" ht="42" customHeight="1">
      <x:c r="A42" s="10" t="str">
        <x:v>VFY-SUP-001</x:v>
      </x:c>
      <x:c r="B42" s="10" t="str">
        <x:v>Supply chain</x:v>
      </x:c>
      <x:c r="C42" s="10" t="str">
        <x:v>Artifact and dependency provenance</x:v>
      </x:c>
      <x:c r="D42" s="10" t="str">
        <x:v>Know what source/dependencies/config produced each build and deployment artifact.</x:v>
      </x:c>
      <x:c r="E42" s="10" t="str">
        <x:v>SBOM/provenance generation and signature/registry checks as adopted</x:v>
      </x:c>
      <x:c r="F42" s="10" t="str">
        <x:v>Release artifact is traceable to source and dependency lock; provenance checks meet approved policy.</x:v>
      </x:c>
      <x:c r="G42" s="10" t="str">
        <x:v>HIGH</x:v>
      </x:c>
      <x:c r="H42" s="10" t="str">
        <x:v>G2</x:v>
      </x:c>
      <x:c r="I42" s="10" t="str">
        <x:v>Engineering owner</x:v>
      </x:c>
      <x:c r="J42" s="10" t="str">
        <x:v>Every release</x:v>
      </x:c>
      <x:c r="K42" s="10" t="str">
        <x:v>NOT_RUN</x:v>
      </x:c>
      <x:c r="L42" s="10" t="str"/>
      <x:c r="M42" s="10" t="str"/>
    </x:row>
    <x:row r="43" ht="42" customHeight="1">
      <x:c r="A43" s="10" t="str">
        <x:v>VFY-SEC-008</x:v>
      </x:c>
      <x:c r="B43" s="10" t="str">
        <x:v>Security</x:v>
      </x:c>
      <x:c r="C43" s="10" t="str">
        <x:v>Penetration test</x:v>
      </x:c>
      <x:c r="D43" s="10" t="str">
        <x:v>Independent tester examines exposed application, API, roles, tenant boundaries and critical workflows.</x:v>
      </x:c>
      <x:c r="E43" s="10" t="str">
        <x:v>Scoped independent penetration test</x:v>
      </x:c>
      <x:c r="F43" s="10" t="str">
        <x:v>No open critical issue and no unmitigated high issue contrary to risk policy; retest verifies fixes.</x:v>
      </x:c>
      <x:c r="G43" s="10" t="str">
        <x:v>CRITICAL</x:v>
      </x:c>
      <x:c r="H43" s="10" t="str">
        <x:v>G3</x:v>
      </x:c>
      <x:c r="I43" s="10" t="str">
        <x:v>Security lead</x:v>
      </x:c>
      <x:c r="J43" s="10" t="str">
        <x:v>Before first production / major auth change</x:v>
      </x:c>
      <x:c r="K43" s="10" t="str">
        <x:v>NOT_RUN</x:v>
      </x:c>
      <x:c r="L43" s="10" t="str"/>
      <x:c r="M43" s="10" t="str"/>
    </x:row>
    <x:row r="44" ht="42" customHeight="1">
      <x:c r="A44" s="10" t="str">
        <x:v>VFY-CLIN-002</x:v>
      </x:c>
      <x:c r="B44" s="10" t="str">
        <x:v>Clinical safety</x:v>
      </x:c>
      <x:c r="C44" s="10" t="str">
        <x:v>Clinical workflow safety validation</x:v>
      </x:c>
      <x:c r="D44" s="10" t="str">
        <x:v>Qualified reviewer examines hazards, mitigations, defaults, alerts and failure/downtime behavior.</x:v>
      </x:c>
      <x:c r="E44" s="10" t="str">
        <x:v>Clinical scenario simulation with representative users</x:v>
      </x:c>
      <x:c r="F44" s="10" t="str">
        <x:v>Critical hazards have effective verified controls; residual risk decision and training are documented.</x:v>
      </x:c>
      <x:c r="G44" s="10" t="str">
        <x:v>CRITICAL</x:v>
      </x:c>
      <x:c r="H44" s="10" t="str">
        <x:v>G3</x:v>
      </x:c>
      <x:c r="I44" s="10" t="str">
        <x:v>Clinical safety lead</x:v>
      </x:c>
      <x:c r="J44" s="10" t="str">
        <x:v>Before enabling clinical feature</x:v>
      </x:c>
      <x:c r="K44" s="10" t="str">
        <x:v>NOT_RUN</x:v>
      </x:c>
      <x:c r="L44" s="10" t="str"/>
      <x:c r="M44" s="10" t="str"/>
    </x:row>
    <x:row r="45" ht="42" customHeight="1">
      <x:c r="A45" s="10" t="str">
        <x:v>VFY-CLIN-003</x:v>
      </x:c>
      <x:c r="B45" s="10" t="str">
        <x:v>Clinical safety</x:v>
      </x:c>
      <x:c r="C45" s="10" t="str">
        <x:v>Patient identity and result association</x:v>
      </x:c>
      <x:c r="D45" s="10" t="str">
        <x:v>Test wrong-patient prevention, duplicate merge, result routing, amendments and units.</x:v>
      </x:c>
      <x:c r="E45" s="10" t="str">
        <x:v>Synthetic clinical scenario suite + reviewer sign-off</x:v>
      </x:c>
      <x:c r="F45" s="10" t="str">
        <x:v>No wrong-patient association in critical scenarios; provenance/status/units and corrections remain intact.</x:v>
      </x:c>
      <x:c r="G45" s="10" t="str">
        <x:v>CRITICAL</x:v>
      </x:c>
      <x:c r="H45" s="10" t="str">
        <x:v>G3</x:v>
      </x:c>
      <x:c r="I45" s="10" t="str">
        <x:v>Clinical safety lead</x:v>
      </x:c>
      <x:c r="J45" s="10" t="str">
        <x:v>Every release affecting patient/result flows</x:v>
      </x:c>
      <x:c r="K45" s="10" t="str">
        <x:v>NOT_RUN</x:v>
      </x:c>
      <x:c r="L45" s="10" t="str"/>
      <x:c r="M45" s="10" t="str"/>
    </x:row>
    <x:row r="46" ht="42" customHeight="1">
      <x:c r="A46" s="10" t="str">
        <x:v>VFY-PRIV-004</x:v>
      </x:c>
      <x:c r="B46" s="10" t="str">
        <x:v>Privacy</x:v>
      </x:c>
      <x:c r="C46" s="10" t="str">
        <x:v>Retention, deletion and rights workflows</x:v>
      </x:c>
      <x:c r="D46" s="10" t="str">
        <x:v>Test retention, export/correction/deletion limitations, consent and legal holds where applicable.</x:v>
      </x:c>
      <x:c r="E46" s="10" t="str">
        <x:v>Privacy workflow tests and specialist review</x:v>
      </x:c>
      <x:c r="F46" s="10" t="str">
        <x:v>Behavior matches approved policy and law; no deletion that violates documented medical-record retention obligations.</x:v>
      </x:c>
      <x:c r="G46" s="10" t="str">
        <x:v>HIGH</x:v>
      </x:c>
      <x:c r="H46" s="10" t="str">
        <x:v>G3</x:v>
      </x:c>
      <x:c r="I46" s="10" t="str">
        <x:v>Privacy/legal owner</x:v>
      </x:c>
      <x:c r="J46" s="10" t="str">
        <x:v>Before production / legal change</x:v>
      </x:c>
      <x:c r="K46" s="10" t="str">
        <x:v>NOT_RUN</x:v>
      </x:c>
      <x:c r="L46" s="10" t="str"/>
      <x:c r="M46" s="10" t="str"/>
    </x:row>
    <x:row r="47" ht="42" customHeight="1">
      <x:c r="A47" s="10" t="str">
        <x:v>VFY-API-003</x:v>
      </x:c>
      <x:c r="B47" s="10" t="str">
        <x:v>Interoperability</x:v>
      </x:c>
      <x:c r="C47" s="10" t="str">
        <x:v>Integration failure containment</x:v>
      </x:c>
      <x:c r="D47" s="10" t="str">
        <x:v>Test vendor downtime, malformed payloads, auth expiry, duplicate delivery, retries and reconciliation.</x:v>
      </x:c>
      <x:c r="E47" s="10" t="str">
        <x:v>Sandbox/fault-injection and end-to-end replay tests</x:v>
      </x:c>
      <x:c r="F47" s="10" t="str">
        <x:v>Failures are visible, bounded, retry-safe and reconcilable; no silent dropped or duplicated critical message.</x:v>
      </x:c>
      <x:c r="G47" s="10" t="str">
        <x:v>HIGH</x:v>
      </x:c>
      <x:c r="H47" s="10" t="str">
        <x:v>G3</x:v>
      </x:c>
      <x:c r="I47" s="10" t="str">
        <x:v>Interoperability owner</x:v>
      </x:c>
      <x:c r="J47" s="10" t="str">
        <x:v>Each integration release</x:v>
      </x:c>
      <x:c r="K47" s="10" t="str">
        <x:v>NOT_RUN</x:v>
      </x:c>
      <x:c r="L47" s="10" t="str"/>
      <x:c r="M47" s="10" t="str"/>
    </x:row>
    <x:row r="48" ht="42" customHeight="1">
      <x:c r="A48" s="10" t="str">
        <x:v>VFY-OPS-002</x:v>
      </x:c>
      <x:c r="B48" s="10" t="str">
        <x:v>Resilience</x:v>
      </x:c>
      <x:c r="C48" s="10" t="str">
        <x:v>Backup restore drill</x:v>
      </x:c>
      <x:c r="D48" s="10" t="str">
        <x:v>Restore into isolated environment and verify functional and data integrity.</x:v>
      </x:c>
      <x:c r="E48" s="10" t="str">
        <x:v>Observed restore drill with reconciliation</x:v>
      </x:c>
      <x:c r="F48" s="10" t="str">
        <x:v>Application workflows function; record integrity is checked; actual RTO/RPO measured against approved targets.</x:v>
      </x:c>
      <x:c r="G48" s="10" t="str">
        <x:v>CRITICAL</x:v>
      </x:c>
      <x:c r="H48" s="10" t="str">
        <x:v>G3</x:v>
      </x:c>
      <x:c r="I48" s="10" t="str">
        <x:v>Operations owner</x:v>
      </x:c>
      <x:c r="J48" s="10" t="str">
        <x:v>Before production and scheduled</x:v>
      </x:c>
      <x:c r="K48" s="10" t="str">
        <x:v>NOT_RUN</x:v>
      </x:c>
      <x:c r="L48" s="10" t="str"/>
      <x:c r="M48" s="10" t="str"/>
    </x:row>
    <x:row r="49" ht="42" customHeight="1">
      <x:c r="A49" s="10" t="str">
        <x:v>VFY-OPS-003</x:v>
      </x:c>
      <x:c r="B49" s="10" t="str">
        <x:v>Resilience</x:v>
      </x:c>
      <x:c r="C49" s="10" t="str">
        <x:v>Rollback/forward-fix drill</x:v>
      </x:c>
      <x:c r="D49" s="10" t="str">
        <x:v>Demonstrate safe recovery from bad application/config/schema release.</x:v>
      </x:c>
      <x:c r="E49" s="10" t="str">
        <x:v>Staging release rollback rehearsal</x:v>
      </x:c>
      <x:c r="F49" s="10" t="str">
        <x:v>Rollback or forward recovery works for the tested failure mode; data loss and irreversible effects are bounded.</x:v>
      </x:c>
      <x:c r="G49" s="10" t="str">
        <x:v>HIGH</x:v>
      </x:c>
      <x:c r="H49" s="10" t="str">
        <x:v>G3</x:v>
      </x:c>
      <x:c r="I49" s="10" t="str">
        <x:v>Operations owner</x:v>
      </x:c>
      <x:c r="J49" s="10" t="str">
        <x:v>Before first release / material migration</x:v>
      </x:c>
      <x:c r="K49" s="10" t="str">
        <x:v>NOT_RUN</x:v>
      </x:c>
      <x:c r="L49" s="10" t="str"/>
      <x:c r="M49" s="10" t="str"/>
    </x:row>
    <x:row r="50" ht="42" customHeight="1">
      <x:c r="A50" s="10" t="str">
        <x:v>VFY-PERF-001</x:v>
      </x:c>
      <x:c r="B50" s="10" t="str">
        <x:v>Performance</x:v>
      </x:c>
      <x:c r="C50" s="10" t="str">
        <x:v>Capacity and latency test</x:v>
      </x:c>
      <x:c r="D50" s="10" t="str">
        <x:v>Measure expected peak/burst/soak with realistic workload and data shape.</x:v>
      </x:c>
      <x:c r="E50" s="10" t="str">
        <x:v>Load, stress, spike and soak test</x:v>
      </x:c>
      <x:c r="F50" s="10" t="str">
        <x:v>Approved SLOs met at business-approved load; saturation, bottlenecks and degradation behaviors understood.</x:v>
      </x:c>
      <x:c r="G50" s="10" t="str">
        <x:v>HIGH</x:v>
      </x:c>
      <x:c r="H50" s="10" t="str">
        <x:v>G3</x:v>
      </x:c>
      <x:c r="I50" s="10" t="str">
        <x:v>Operations owner</x:v>
      </x:c>
      <x:c r="J50" s="10" t="str">
        <x:v>Before production / capacity change</x:v>
      </x:c>
      <x:c r="K50" s="10" t="str">
        <x:v>NOT_RUN</x:v>
      </x:c>
      <x:c r="L50" s="10" t="str"/>
      <x:c r="M50" s="10" t="str"/>
    </x:row>
    <x:row r="51" ht="42" customHeight="1">
      <x:c r="A51" s="10" t="str">
        <x:v>VFY-UX-003</x:v>
      </x:c>
      <x:c r="B51" s="10" t="str">
        <x:v>Usability</x:v>
      </x:c>
      <x:c r="C51" s="10" t="str">
        <x:v>Pilot usability and accessibility</x:v>
      </x:c>
      <x:c r="D51" s="10" t="str">
        <x:v>Test realistic end-to-end tasks with representative clinicians and admin staff.</x:v>
      </x:c>
      <x:c r="E51" s="10" t="str">
        <x:v>Moderated usability and accessibility testing</x:v>
      </x:c>
      <x:c r="F51" s="10" t="str">
        <x:v>Critical task success/error criteria met; confusing/misleading states and high-risk workarounds fixed.</x:v>
      </x:c>
      <x:c r="G51" s="10" t="str">
        <x:v>HIGH</x:v>
      </x:c>
      <x:c r="H51" s="10" t="str">
        <x:v>G3</x:v>
      </x:c>
      <x:c r="I51" s="10" t="str">
        <x:v>Product/system owner</x:v>
      </x:c>
      <x:c r="J51" s="10" t="str">
        <x:v>Before broad rollout</x:v>
      </x:c>
      <x:c r="K51" s="10" t="str">
        <x:v>NOT_RUN</x:v>
      </x:c>
      <x:c r="L51" s="10" t="str"/>
      <x:c r="M51" s="10" t="str"/>
    </x:row>
    <x:row r="52" ht="42" customHeight="1">
      <x:c r="A52" s="10" t="str">
        <x:v>VFY-PRIV-005</x:v>
      </x:c>
      <x:c r="B52" s="10" t="str">
        <x:v>Privacy</x:v>
      </x:c>
      <x:c r="C52" s="10" t="str">
        <x:v>Data transfer and vendor review</x:v>
      </x:c>
      <x:c r="D52" s="10" t="str">
        <x:v>Review locations, sub-processors, access controls, contracts, cross-border transfer and breach obligations.</x:v>
      </x:c>
      <x:c r="E52" s="10" t="str">
        <x:v>Vendor/privacy assessment and qualified legal review</x:v>
      </x:c>
      <x:c r="F52" s="10" t="str">
        <x:v>All applicable transfers/vendors have an approved basis and controls; unresolved material issue blocks release.</x:v>
      </x:c>
      <x:c r="G52" s="10" t="str">
        <x:v>CRITICAL</x:v>
      </x:c>
      <x:c r="H52" s="10" t="str">
        <x:v>G3</x:v>
      </x:c>
      <x:c r="I52" s="10" t="str">
        <x:v>Privacy/legal owner</x:v>
      </x:c>
      <x:c r="J52" s="10" t="str">
        <x:v>New vendor/region</x:v>
      </x:c>
      <x:c r="K52" s="10" t="str">
        <x:v>NOT_RUN</x:v>
      </x:c>
      <x:c r="L52" s="10" t="str"/>
      <x:c r="M52" s="10" t="str"/>
    </x:row>
    <x:row r="53" ht="42" customHeight="1">
      <x:c r="A53" s="10" t="str">
        <x:v>VFY-IR-001</x:v>
      </x:c>
      <x:c r="B53" s="10" t="str">
        <x:v>Incident response</x:v>
      </x:c>
      <x:c r="C53" s="10" t="str">
        <x:v>Security/privacy/clinical incident tabletop</x:v>
      </x:c>
      <x:c r="D53" s="10" t="str">
        <x:v>Exercise incident triage, containment, patient-safety escalation, evidence handling and communication.</x:v>
      </x:c>
      <x:c r="E53" s="10" t="str">
        <x:v>Tabletop and timed evidence review</x:v>
      </x:c>
      <x:c r="F53" s="10" t="str">
        <x:v>Owners can execute documented playbook; actions/communication paths and response timings are recorded.</x:v>
      </x:c>
      <x:c r="G53" s="10" t="str">
        <x:v>HIGH</x:v>
      </x:c>
      <x:c r="H53" s="10" t="str">
        <x:v>G3</x:v>
      </x:c>
      <x:c r="I53" s="10" t="str">
        <x:v>Operations owner</x:v>
      </x:c>
      <x:c r="J53" s="10" t="str">
        <x:v>Before production; annual/after incident</x:v>
      </x:c>
      <x:c r="K53" s="10" t="str">
        <x:v>NOT_RUN</x:v>
      </x:c>
      <x:c r="L53" s="10" t="str"/>
      <x:c r="M53" s="10" t="str"/>
    </x:row>
    <x:row r="54" ht="42" customHeight="1">
      <x:c r="A54" s="10" t="str">
        <x:v>VFY-MIG-001</x:v>
      </x:c>
      <x:c r="B54" s="10" t="str">
        <x:v>Migration</x:v>
      </x:c>
      <x:c r="C54" s="10" t="str">
        <x:v>Production-like migration rehearsal</x:v>
      </x:c>
      <x:c r="D54" s="10" t="str">
        <x:v>Rehearse on representative data volume with downtime/dual-write approach as applicable.</x:v>
      </x:c>
      <x:c r="E54" s="10" t="str">
        <x:v>Timed rehearsal + integrity reconciliation</x:v>
      </x:c>
      <x:c r="F54" s="10" t="str">
        <x:v>Reconciliation passes pre-approved thresholds; abort criteria and rollback/forward-fix are demonstrated.</x:v>
      </x:c>
      <x:c r="G54" s="10" t="str">
        <x:v>CRITICAL</x:v>
      </x:c>
      <x:c r="H54" s="10" t="str">
        <x:v>G3</x:v>
      </x:c>
      <x:c r="I54" s="10" t="str">
        <x:v>Data owner</x:v>
      </x:c>
      <x:c r="J54" s="10" t="str">
        <x:v>Before each material migration</x:v>
      </x:c>
      <x:c r="K54" s="10" t="str">
        <x:v>NOT_RUN</x:v>
      </x:c>
      <x:c r="L54" s="10" t="str"/>
      <x:c r="M54" s="10" t="str"/>
    </x:row>
    <x:row r="55" ht="42" customHeight="1">
      <x:c r="A55" s="10" t="str">
        <x:v>VFY-COMP-001</x:v>
      </x:c>
      <x:c r="B55" s="10" t="str">
        <x:v>Compliance</x:v>
      </x:c>
      <x:c r="C55" s="10" t="str">
        <x:v>Obligation-to-control evidence</x:v>
      </x:c>
      <x:c r="D55" s="10" t="str">
        <x:v>For each applicable legal/contractual requirement, link obligation → control → test → evidence → reviewer.</x:v>
      </x:c>
      <x:c r="E55" s="10" t="str">
        <x:v>Qualified compliance/legal review of traceability</x:v>
      </x:c>
      <x:c r="F55" s="10" t="str">
        <x:v>No claim exceeds available evidence; scope, jurisdiction, date and exclusions are clear.</x:v>
      </x:c>
      <x:c r="G55" s="10" t="str">
        <x:v>CRITICAL</x:v>
      </x:c>
      <x:c r="H55" s="10" t="str">
        <x:v>G3</x:v>
      </x:c>
      <x:c r="I55" s="10" t="str">
        <x:v>Privacy/legal owner</x:v>
      </x:c>
      <x:c r="J55" s="10" t="str">
        <x:v>Every launch jurisdiction / law change</x:v>
      </x:c>
      <x:c r="K55" s="10" t="str">
        <x:v>NOT_RUN</x:v>
      </x:c>
      <x:c r="L55" s="10" t="str"/>
      <x:c r="M55" s="10" t="str"/>
    </x:row>
    <x:row r="56" ht="42" customHeight="1">
      <x:c r="A56" s="10" t="str">
        <x:v>VFY-REL-001</x:v>
      </x:c>
      <x:c r="B56" s="10" t="str">
        <x:v>Release</x:v>
      </x:c>
      <x:c r="C56" s="10" t="str">
        <x:v>Exact build and release record</x:v>
      </x:c>
      <x:c r="D56" s="10" t="str">
        <x:v>Release is bound to exact source, artifact, configuration, migrations and evidence set.</x:v>
      </x:c>
      <x:c r="E56" s="10" t="str">
        <x:v>Release manifest review and artifact digest verification</x:v>
      </x:c>
      <x:c r="F56" s="10" t="str">
        <x:v>Candidate build is immutable/traceable; approvals refer to same version/environment.</x:v>
      </x:c>
      <x:c r="G56" s="10" t="str">
        <x:v>HIGH</x:v>
      </x:c>
      <x:c r="H56" s="10" t="str">
        <x:v>G4</x:v>
      </x:c>
      <x:c r="I56" s="10" t="str">
        <x:v>Release authority</x:v>
      </x:c>
      <x:c r="J56" s="10" t="str">
        <x:v>Every release</x:v>
      </x:c>
      <x:c r="K56" s="10" t="str">
        <x:v>NOT_RUN</x:v>
      </x:c>
      <x:c r="L56" s="10" t="str"/>
      <x:c r="M56" s="10" t="str"/>
    </x:row>
    <x:row r="57" ht="42" customHeight="1">
      <x:c r="A57" s="10" t="str">
        <x:v>VFY-REL-002</x:v>
      </x:c>
      <x:c r="B57" s="10" t="str">
        <x:v>Release</x:v>
      </x:c>
      <x:c r="C57" s="10" t="str">
        <x:v>Production approvals complete</x:v>
      </x:c>
      <x:c r="D57" s="10" t="str">
        <x:v>Capture product, QA, security, operations, and applicable clinical/legal approvals for exact candidate.</x:v>
      </x:c>
      <x:c r="E57" s="10" t="str">
        <x:v>RELEASE-SIGNOFF.csv + governed release review</x:v>
      </x:c>
      <x:c r="F57" s="10" t="str">
        <x:v>All required sign-offs completed by authorized distinct reviewers; applicability is evidenced.</x:v>
      </x:c>
      <x:c r="G57" s="10" t="str">
        <x:v>CRITICAL</x:v>
      </x:c>
      <x:c r="H57" s="10" t="str">
        <x:v>G4</x:v>
      </x:c>
      <x:c r="I57" s="10" t="str">
        <x:v>Release authority</x:v>
      </x:c>
      <x:c r="J57" s="10" t="str">
        <x:v>Every production release</x:v>
      </x:c>
      <x:c r="K57" s="10" t="str">
        <x:v>NOT_RUN</x:v>
      </x:c>
      <x:c r="L57" s="10" t="str"/>
      <x:c r="M57" s="10" t="str"/>
    </x:row>
    <x:row r="58" ht="42" customHeight="1">
      <x:c r="A58" s="10" t="str">
        <x:v>VFY-OPS-004</x:v>
      </x:c>
      <x:c r="B58" s="10" t="str">
        <x:v>Operations</x:v>
      </x:c>
      <x:c r="C58" s="10" t="str">
        <x:v>Monitoring and alert response</x:v>
      </x:c>
      <x:c r="D58" s="10" t="str">
        <x:v>Verify dashboards, alerts, routing, escalation, incident and clinical safety paths.</x:v>
      </x:c>
      <x:c r="E58" s="10" t="str">
        <x:v>Alert injection and runbook exercise</x:v>
      </x:c>
      <x:c r="F58" s="10" t="str">
        <x:v>Critical failures generate actionable alerts reaching the responsible owner within approved thresholds.</x:v>
      </x:c>
      <x:c r="G58" s="10" t="str">
        <x:v>HIGH</x:v>
      </x:c>
      <x:c r="H58" s="10" t="str">
        <x:v>G4</x:v>
      </x:c>
      <x:c r="I58" s="10" t="str">
        <x:v>Operations owner</x:v>
      </x:c>
      <x:c r="J58" s="10" t="str">
        <x:v>Every release / quarterly</x:v>
      </x:c>
      <x:c r="K58" s="10" t="str">
        <x:v>NOT_RUN</x:v>
      </x:c>
      <x:c r="L58" s="10" t="str"/>
      <x:c r="M58" s="10" t="str"/>
    </x:row>
    <x:row r="59" ht="42" customHeight="1">
      <x:c r="A59" s="10" t="str">
        <x:v>VFY-SEC-009</x:v>
      </x:c>
      <x:c r="B59" s="10" t="str">
        <x:v>Security</x:v>
      </x:c>
      <x:c r="C59" s="10" t="str">
        <x:v>Production privilege and secret readiness</x:v>
      </x:c>
      <x:c r="D59" s="10" t="str">
        <x:v>Review least privilege, service accounts, MFA, secret storage/rotation, key policy and break-glass monitoring.</x:v>
      </x:c>
      <x:c r="E59" s="10" t="str">
        <x:v>Configuration review + access simulation</x:v>
      </x:c>
      <x:c r="F59" s="10" t="str">
        <x:v>No default credentials/excessive permissions; emergency access is bounded and monitored; rotation path tested.</x:v>
      </x:c>
      <x:c r="G59" s="10" t="str">
        <x:v>CRITICAL</x:v>
      </x:c>
      <x:c r="H59" s="10" t="str">
        <x:v>G4</x:v>
      </x:c>
      <x:c r="I59" s="10" t="str">
        <x:v>Security lead</x:v>
      </x:c>
      <x:c r="J59" s="10" t="str">
        <x:v>Every release / quarterly</x:v>
      </x:c>
      <x:c r="K59" s="10" t="str">
        <x:v>NOT_RUN</x:v>
      </x:c>
      <x:c r="L59" s="10" t="str"/>
      <x:c r="M59" s="10" t="str"/>
    </x:row>
    <x:row r="60" ht="42" customHeight="1">
      <x:c r="A60" s="10" t="str">
        <x:v>VFY-DATA-004</x:v>
      </x:c>
      <x:c r="B60" s="10" t="str">
        <x:v>Data integrity</x:v>
      </x:c>
      <x:c r="C60" s="10" t="str">
        <x:v>Audit retention and access</x:v>
      </x:c>
      <x:c r="D60" s="10" t="str">
        <x:v>Production audit records are retained, protected and reviewable for defined obligations.</x:v>
      </x:c>
      <x:c r="E60" s="10" t="str">
        <x:v>Configuration review and retrieval/access tests</x:v>
      </x:c>
      <x:c r="F60" s="10" t="str">
        <x:v>Retention/access policy matches approved requirements; audit is not silently editable by normal admins.</x:v>
      </x:c>
      <x:c r="G60" s="10" t="str">
        <x:v>HIGH</x:v>
      </x:c>
      <x:c r="H60" s="10" t="str">
        <x:v>G4</x:v>
      </x:c>
      <x:c r="I60" s="10" t="str">
        <x:v>Security lead</x:v>
      </x:c>
      <x:c r="J60" s="10" t="str">
        <x:v>Every release / quarterly</x:v>
      </x:c>
      <x:c r="K60" s="10" t="str">
        <x:v>NOT_RUN</x:v>
      </x:c>
      <x:c r="L60" s="10" t="str"/>
      <x:c r="M60" s="10" t="str"/>
    </x:row>
    <x:row r="61" ht="42" customHeight="1">
      <x:c r="A61" s="10" t="str">
        <x:v>VFY-OPS-005</x:v>
      </x:c>
      <x:c r="B61" s="10" t="str">
        <x:v>Operations</x:v>
      </x:c>
      <x:c r="C61" s="10" t="str">
        <x:v>On-call and incident runbooks</x:v>
      </x:c>
      <x:c r="D61" s="10" t="str">
        <x:v>Named on-call, severity, escalation and system-specific recovery procedures are ready.</x:v>
      </x:c>
      <x:c r="E61" s="10" t="str">
        <x:v>Runbook tabletop and contact-path test</x:v>
      </x:c>
      <x:c r="F61" s="10" t="str">
        <x:v>Owners can find and execute the appropriate runbooks; no critical unowned alert or escalation.</x:v>
      </x:c>
      <x:c r="G61" s="10" t="str">
        <x:v>HIGH</x:v>
      </x:c>
      <x:c r="H61" s="10" t="str">
        <x:v>G4</x:v>
      </x:c>
      <x:c r="I61" s="10" t="str">
        <x:v>Operations owner</x:v>
      </x:c>
      <x:c r="J61" s="10" t="str">
        <x:v>Every release / quarterly</x:v>
      </x:c>
      <x:c r="K61" s="10" t="str">
        <x:v>NOT_RUN</x:v>
      </x:c>
      <x:c r="L61" s="10" t="str"/>
      <x:c r="M61" s="10" t="str"/>
    </x:row>
    <x:row r="62" ht="42" customHeight="1">
      <x:c r="A62" s="10" t="str">
        <x:v>VFY-DATA-005</x:v>
      </x:c>
      <x:c r="B62" s="10" t="str">
        <x:v>Data integrity</x:v>
      </x:c>
      <x:c r="C62" s="10" t="str">
        <x:v>Migration final reconciliation</x:v>
      </x:c>
      <x:c r="D62" s="10" t="str">
        <x:v>Compare source/target counts, key relationships, critical fields and financial/clinical aggregates after migration.</x:v>
      </x:c>
      <x:c r="E62" s="10" t="str">
        <x:v>Signed reconciliation report</x:v>
      </x:c>
      <x:c r="F62" s="10" t="str">
        <x:v>All pre-approved reconciliation thresholds met; discrepancies explained and approved by data/clinical owners.</x:v>
      </x:c>
      <x:c r="G62" s="10" t="str">
        <x:v>CRITICAL</x:v>
      </x:c>
      <x:c r="H62" s="10" t="str">
        <x:v>G4</x:v>
      </x:c>
      <x:c r="I62" s="10" t="str">
        <x:v>Data owner</x:v>
      </x:c>
      <x:c r="J62" s="10" t="str">
        <x:v>Every production migration</x:v>
      </x:c>
      <x:c r="K62" s="10" t="str">
        <x:v>NOT_RUN</x:v>
      </x:c>
      <x:c r="L62" s="10" t="str"/>
      <x:c r="M62" s="10" t="str"/>
    </x:row>
    <x:row r="63" ht="42" customHeight="1">
      <x:c r="A63" s="10" t="str">
        <x:v>VFY-OPS-006</x:v>
      </x:c>
      <x:c r="B63" s="10" t="str">
        <x:v>Operations</x:v>
      </x:c>
      <x:c r="C63" s="10" t="str">
        <x:v>SLO/error-budget review</x:v>
      </x:c>
      <x:c r="D63" s="10" t="str">
        <x:v>Measure service health and journey-level SLOs in production.</x:v>
      </x:c>
      <x:c r="E63" s="10" t="str">
        <x:v>Monthly/quarterly SLI report</x:v>
      </x:c>
      <x:c r="F63" s="10" t="str">
        <x:v>Breaches trigger documented action; aggregate uptime cannot hide critical journey failures.</x:v>
      </x:c>
      <x:c r="G63" s="10" t="str">
        <x:v>HIGH</x:v>
      </x:c>
      <x:c r="H63" s="10" t="str">
        <x:v>G5</x:v>
      </x:c>
      <x:c r="I63" s="10" t="str">
        <x:v>Operations owner</x:v>
      </x:c>
      <x:c r="J63" s="10" t="str">
        <x:v>Monthly</x:v>
      </x:c>
      <x:c r="K63" s="10" t="str">
        <x:v>NOT_RUN</x:v>
      </x:c>
      <x:c r="L63" s="10" t="str"/>
      <x:c r="M63" s="10" t="str"/>
    </x:row>
    <x:row r="64" ht="42" customHeight="1">
      <x:c r="A64" s="10" t="str">
        <x:v>VFY-SEC-010</x:v>
      </x:c>
      <x:c r="B64" s="10" t="str">
        <x:v>Security</x:v>
      </x:c>
      <x:c r="C64" s="10" t="str">
        <x:v>Recurring access and risk review</x:v>
      </x:c>
      <x:c r="D64" s="10" t="str">
        <x:v>Review users, privileged access, service accounts, break-glass events and accepted risks.</x:v>
      </x:c>
      <x:c r="E64" s="10" t="str">
        <x:v>Access recertification and risk review</x:v>
      </x:c>
      <x:c r="F64" s="10" t="str">
        <x:v>Orphaned/excess access removed; overdue/expired accepted risks escalated and closed/reapproved.</x:v>
      </x:c>
      <x:c r="G64" s="10" t="str">
        <x:v>HIGH</x:v>
      </x:c>
      <x:c r="H64" s="10" t="str">
        <x:v>G5</x:v>
      </x:c>
      <x:c r="I64" s="10" t="str">
        <x:v>Security lead</x:v>
      </x:c>
      <x:c r="J64" s="10" t="str">
        <x:v>Quarterly / staff departure</x:v>
      </x:c>
      <x:c r="K64" s="10" t="str">
        <x:v>NOT_RUN</x:v>
      </x:c>
      <x:c r="L64" s="10" t="str"/>
      <x:c r="M64" s="10" t="str"/>
    </x:row>
    <x:row r="65" ht="42" customHeight="1">
      <x:c r="A65" s="10" t="str">
        <x:v>VFY-OPS-007</x:v>
      </x:c>
      <x:c r="B65" s="10" t="str">
        <x:v>Resilience</x:v>
      </x:c>
      <x:c r="C65" s="10" t="str">
        <x:v>Periodic restore and DR test</x:v>
      </x:c>
      <x:c r="D65" s="10" t="str">
        <x:v>Reperform restore/DR exercise and measure current RTO/RPO.</x:v>
      </x:c>
      <x:c r="E65" s="10" t="str">
        <x:v>Scheduled restore/DR drill</x:v>
      </x:c>
      <x:c r="F65" s="10" t="str">
        <x:v>Actual achieved recovery meets approved target or remediation plan is escalated; data integrity verified.</x:v>
      </x:c>
      <x:c r="G65" s="10" t="str">
        <x:v>CRITICAL</x:v>
      </x:c>
      <x:c r="H65" s="10" t="str">
        <x:v>G5</x:v>
      </x:c>
      <x:c r="I65" s="10" t="str">
        <x:v>Operations owner</x:v>
      </x:c>
      <x:c r="J65" s="10" t="str">
        <x:v>At least annually and after architecture change</x:v>
      </x:c>
      <x:c r="K65" s="10" t="str">
        <x:v>NOT_RUN</x:v>
      </x:c>
      <x:c r="L65" s="10" t="str"/>
      <x:c r="M65" s="10" t="str"/>
    </x:row>
    <x:row r="66" ht="42" customHeight="1">
      <x:c r="A66" s="10" t="str">
        <x:v>VFY-SEC-011</x:v>
      </x:c>
      <x:c r="B66" s="10" t="str">
        <x:v>Security</x:v>
      </x:c>
      <x:c r="C66" s="10" t="str">
        <x:v>Vulnerability remediation cadence</x:v>
      </x:c>
      <x:c r="D66" s="10" t="str">
        <x:v>Track vulnerability age and patch/retest with severity-aware SLAs.</x:v>
      </x:c>
      <x:c r="E66" s="10" t="str">
        <x:v>Recurring SCA/SAST/DAST scan and remediation audit</x:v>
      </x:c>
      <x:c r="F66" s="10" t="str">
        <x:v>No overdue critical vulnerability without an approved emergency exception; fixes are retested.</x:v>
      </x:c>
      <x:c r="G66" s="10" t="str">
        <x:v>HIGH</x:v>
      </x:c>
      <x:c r="H66" s="10" t="str">
        <x:v>G5</x:v>
      </x:c>
      <x:c r="I66" s="10" t="str">
        <x:v>Security lead</x:v>
      </x:c>
      <x:c r="J66" s="10" t="str">
        <x:v>Continuous / per policy</x:v>
      </x:c>
      <x:c r="K66" s="10" t="str">
        <x:v>NOT_RUN</x:v>
      </x:c>
      <x:c r="L66" s="10" t="str"/>
      <x:c r="M66" s="10" t="str"/>
    </x:row>
    <x:row r="67" ht="42" customHeight="1">
      <x:c r="A67" s="10" t="str">
        <x:v>VFY-CLIN-004</x:v>
      </x:c>
      <x:c r="B67" s="10" t="str">
        <x:v>Clinical safety</x:v>
      </x:c>
      <x:c r="C67" s="10" t="str">
        <x:v>Post-market safety signal review</x:v>
      </x:c>
      <x:c r="D67" s="10" t="str">
        <x:v>Review near misses, user complaints, adverse events and newly discovered hazards.</x:v>
      </x:c>
      <x:c r="E67" s="10" t="str">
        <x:v>Incident/feedback trend review with clinical lead</x:v>
      </x:c>
      <x:c r="F67" s="10" t="str">
        <x:v>Safety signals receive triage and risk re-evaluation; corrective action effectiveness is verified.</x:v>
      </x:c>
      <x:c r="G67" s="10" t="str">
        <x:v>CRITICAL</x:v>
      </x:c>
      <x:c r="H67" s="10" t="str">
        <x:v>G5</x:v>
      </x:c>
      <x:c r="I67" s="10" t="str">
        <x:v>Clinical safety lead</x:v>
      </x:c>
      <x:c r="J67" s="10" t="str">
        <x:v>Monthly and on signal</x:v>
      </x:c>
      <x:c r="K67" s="10" t="str">
        <x:v>NOT_RUN</x:v>
      </x:c>
      <x:c r="L67" s="10" t="str"/>
      <x:c r="M67" s="10" t="str"/>
    </x:row>
    <x:row r="68" ht="42" customHeight="1">
      <x:c r="A68" s="10" t="str">
        <x:v>VFY-GOV-009</x:v>
      </x:c>
      <x:c r="B68" s="10" t="str">
        <x:v>Governance</x:v>
      </x:c>
      <x:c r="C68" s="10" t="str">
        <x:v>Evidence freshness and change triggers</x:v>
      </x:c>
      <x:c r="D68" s="10" t="str">
        <x:v>Reassess evidence after material changes, incidents, expired reports or new jurisdictions/features.</x:v>
      </x:c>
      <x:c r="E68" s="10" t="str">
        <x:v>Scheduled evidence-expiry scan and change-impact review</x:v>
      </x:c>
      <x:c r="F68" s="10" t="str">
        <x:v>Expired/stale evidence cannot support a current production claim; revalidation work is assigned.</x:v>
      </x:c>
      <x:c r="G68" s="10" t="str">
        <x:v>HIGH</x:v>
      </x:c>
      <x:c r="H68" s="10" t="str">
        <x:v>G5</x:v>
      </x:c>
      <x:c r="I68" s="10" t="str">
        <x:v>QA/verification owner</x:v>
      </x:c>
      <x:c r="J68" s="10" t="str">
        <x:v>Monthly / trigger-based</x:v>
      </x:c>
      <x:c r="K68" s="10" t="str">
        <x:v>NOT_RUN</x:v>
      </x:c>
      <x:c r="L68" s="10" t="str"/>
      <x:c r="M68" s="10" t="str"/>
    </x:row>
  </x:sheetData>
  <x:dataValidations count="1">
    <x:dataValidation type="list" sqref="K2:K68">
      <x:formula1>"NOT_RUN,IN_PROGRESS,PASS,FAIL,BLOCKED,NOT_APPLICABLE,ACCEPTED_RISK"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b7c9835fb4f1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45" hidden="0" customWidth="1"/>
    <x:col min="5" max="5" width="38" hidden="0" customWidth="1"/>
    <x:col min="6" max="6" width="30" hidden="0" customWidth="1"/>
    <x:col min="7" max="7" width="17" hidden="0" customWidth="1"/>
    <x:col min="8" max="8" width="42" hidden="0" customWidth="1"/>
    <x:col min="9" max="9" width="22" hidden="0" customWidth="1"/>
    <x:col min="10" max="10" width="17" hidden="0" customWidth="1"/>
    <x:col min="11" max="11" width="34" hidden="0" customWidth="1"/>
    <x:col min="12" max="12" width="20" hidden="0" customWidth="1"/>
    <x:col min="13" max="13" width="15" hidden="0" customWidth="1"/>
    <x:col min="14" max="14" width="22" hidden="0" customWidth="1"/>
    <x:col min="15" max="15" width="36" hidden="0" customWidth="1"/>
    <x:col min="16" max="16" width="34" hidden="0" customWidth="1"/>
  </x:cols>
  <x:sheetData>
    <x:row r="1" ht="32" customHeight="1">
      <x:c r="A1" s="6" t="str">
        <x:v>risk_id</x:v>
      </x:c>
      <x:c r="B1" s="6" t="str">
        <x:v>title</x:v>
      </x:c>
      <x:c r="C1" s="6" t="str">
        <x:v>domain</x:v>
      </x:c>
      <x:c r="D1" s="6" t="str">
        <x:v>scenario</x:v>
      </x:c>
      <x:c r="E1" s="6" t="str">
        <x:v>impact</x:v>
      </x:c>
      <x:c r="F1" s="6" t="str">
        <x:v>likelihood</x:v>
      </x:c>
      <x:c r="G1" s="6" t="str">
        <x:v>inherent_severity</x:v>
      </x:c>
      <x:c r="H1" s="6" t="str">
        <x:v>mitigation</x:v>
      </x:c>
      <x:c r="I1" s="6" t="str">
        <x:v>owner_role</x:v>
      </x:c>
      <x:c r="J1" s="6" t="str">
        <x:v>status</x:v>
      </x:c>
      <x:c r="K1" s="6" t="str">
        <x:v>linked_controls</x:v>
      </x:c>
      <x:c r="L1" s="6" t="str">
        <x:v>accepted_by</x:v>
      </x:c>
      <x:c r="M1" s="6" t="str">
        <x:v>expires_on</x:v>
      </x:c>
      <x:c r="N1" s="6" t="str">
        <x:v>acceptance_evidence_id</x:v>
      </x:c>
      <x:c r="O1" s="6" t="str">
        <x:v>closure_evidence_id</x:v>
      </x:c>
      <x:c r="P1" s="6" t="str">
        <x:v>notes</x:v>
      </x:c>
    </x:row>
    <x:row r="2" ht="42" customHeight="1">
      <x:c r="A2" s="10" t="str">
        <x:v>RISK-001</x:v>
      </x:c>
      <x:c r="B2" s="10" t="str">
        <x:v>Cross-tenant clinical data disclosure</x:v>
      </x:c>
      <x:c r="C2" s="10" t="str">
        <x:v>Security / tenancy</x:v>
      </x:c>
      <x:c r="D2" s="10" t="str">
        <x:v>A user, API, worker, cache, export, object store, or admin route bypasses tenant authorization.</x:v>
      </x:c>
      <x:c r="E2" s="10" t="str">
        <x:v>Potential patient confidentiality breach and regulatory/contractual harm.</x:v>
      </x:c>
      <x:c r="F2" s="10" t="str">
        <x:v>UNKNOWN — assess after threat modelling and tests.</x:v>
      </x:c>
      <x:c r="G2" s="10" t="str">
        <x:v>CRITICAL</x:v>
      </x:c>
      <x:c r="H2" s="10" t="str">
        <x:v>Define trusted tenant context; enforce server/data-layer authorization; negative-test all resource paths; independent adversarial review.</x:v>
      </x:c>
      <x:c r="I2" s="10" t="str">
        <x:v>Security lead</x:v>
      </x:c>
      <x:c r="J2" s="10" t="str">
        <x:v>OPEN</x:v>
      </x:c>
      <x:c r="K2" s="10" t="str">
        <x:v>VFY-SEC-003;VFY-SEC-004;VFY-TEST-004;VFY-SEC-008</x:v>
      </x:c>
      <x:c r="L2" s="10" t="str"/>
      <x:c r="M2" s="10" t="str"/>
      <x:c r="N2" s="10" t="str"/>
      <x:c r="O2" s="10" t="str"/>
      <x:c r="P2" s="10" t="str">
        <x:v>Initial risk hypothesis, not a confirmed vulnerability.</x:v>
      </x:c>
    </x:row>
    <x:row r="3" ht="42" customHeight="1">
      <x:c r="A3" s="10" t="str">
        <x:v>RISK-002</x:v>
      </x:c>
      <x:c r="B3" s="10" t="str">
        <x:v>Clinical record wrong-patient or silent corruption</x:v>
      </x:c>
      <x:c r="C3" s="10" t="str">
        <x:v>Clinical safety / data</x:v>
      </x:c>
      <x:c r="D3" s="10" t="str">
        <x:v>Identity ambiguity, concurrent update, migration error, or integration mapping associates or changes clinical data incorrectly.</x:v>
      </x:c>
      <x:c r="E3" s="10" t="str">
        <x:v>Potential patient harm, incorrect care decisions, or unrecoverable record inconsistency.</x:v>
      </x:c>
      <x:c r="F3" s="10" t="str">
        <x:v>UNKNOWN — assess with clinical safety analysis.</x:v>
      </x:c>
      <x:c r="G3" s="10" t="str">
        <x:v>CRITICAL</x:v>
      </x:c>
      <x:c r="H3" s="10" t="str">
        <x:v>Patient identity controls, provenance, append-only correction semantics, reconciliation, clinical scenario suite and hazard review.</x:v>
      </x:c>
      <x:c r="I3" s="10" t="str">
        <x:v>Clinical safety lead</x:v>
      </x:c>
      <x:c r="J3" s="10" t="str">
        <x:v>OPEN</x:v>
      </x:c>
      <x:c r="K3" s="10" t="str">
        <x:v>VFY-CLIN-001;VFY-CLIN-003;VFY-DATA-001;VFY-DATA-002;VFY-MIG-001</x:v>
      </x:c>
      <x:c r="L3" s="10" t="str"/>
      <x:c r="M3" s="10" t="str"/>
      <x:c r="N3" s="10" t="str"/>
      <x:c r="O3" s="10" t="str"/>
      <x:c r="P3" s="10" t="str">
        <x:v>Initial risk hypothesis; scope depends on actual clinical workflows.</x:v>
      </x:c>
    </x:row>
    <x:row r="4" ht="42" customHeight="1">
      <x:c r="A4" s="10" t="str">
        <x:v>RISK-003</x:v>
      </x:c>
      <x:c r="B4" s="10" t="str">
        <x:v>Unrecoverable or inconsistent data after failure</x:v>
      </x:c>
      <x:c r="C4" s="10" t="str">
        <x:v>Operations / data</x:v>
      </x:c>
      <x:c r="D4" s="10" t="str">
        <x:v>Backup is unusable, migration rollback fails, or recovery restores data without application-consistent state.</x:v>
      </x:c>
      <x:c r="E4" s="10" t="str">
        <x:v>Clinical/financial data loss and prolonged outage.</x:v>
      </x:c>
      <x:c r="F4" s="10" t="str">
        <x:v>UNKNOWN — no drill evidence supplied in architecture repo.</x:v>
      </x:c>
      <x:c r="G4" s="10" t="str">
        <x:v>CRITICAL</x:v>
      </x:c>
      <x:c r="H4" s="10" t="str">
        <x:v>Business-approved RTO/RPO; isolated restore drills; reconciliation; migration rehearsal; recovery/rollback evidence.</x:v>
      </x:c>
      <x:c r="I4" s="10" t="str">
        <x:v>Operations owner</x:v>
      </x:c>
      <x:c r="J4" s="10" t="str">
        <x:v>OPEN</x:v>
      </x:c>
      <x:c r="K4" s="10" t="str">
        <x:v>VFY-OPS-002;VFY-OPS-003;VFY-MIG-001;VFY-OPS-007</x:v>
      </x:c>
      <x:c r="L4" s="10" t="str"/>
      <x:c r="M4" s="10" t="str"/>
      <x:c r="N4" s="10" t="str"/>
      <x:c r="O4" s="10" t="str"/>
      <x:c r="P4" s="10" t="str">
        <x:v>Do not infer backup capability from a design statement.</x:v>
      </x:c>
    </x:row>
    <x:row r="5" ht="42" customHeight="1">
      <x:c r="A5" s="10" t="str">
        <x:v>RISK-004</x:v>
      </x:c>
      <x:c r="B5" s="10" t="str">
        <x:v>Unsupported compliance claim</x:v>
      </x:c>
      <x:c r="C5" s="10" t="str">
        <x:v>Privacy / compliance</x:v>
      </x:c>
      <x:c r="D5" s="10" t="str">
        <x:v>Architecture or marketing language claims legal compliance before jurisdiction-specific review and implementation evidence.</x:v>
      </x:c>
      <x:c r="E5" s="10" t="str">
        <x:v>Legal exposure, contract failure, loss of trust, or unlawful processing.</x:v>
      </x:c>
      <x:c r="F5" s="10" t="str">
        <x:v>UNKNOWN — verify claims against current docs and marketing.</x:v>
      </x:c>
      <x:c r="G5" s="10" t="str">
        <x:v>HIGH</x:v>
      </x:c>
      <x:c r="H5" s="10" t="str">
        <x:v>Trace obligation-to-control-to-test-to-evidence; obtain qualified jurisdiction review; constrain public claims.</x:v>
      </x:c>
      <x:c r="I5" s="10" t="str">
        <x:v>Privacy/legal owner</x:v>
      </x:c>
      <x:c r="J5" s="10" t="str">
        <x:v>OPEN</x:v>
      </x:c>
      <x:c r="K5" s="10" t="str">
        <x:v>VFY-PRIV-002;VFY-COMP-001;VFY-PRIV-005</x:v>
      </x:c>
      <x:c r="L5" s="10" t="str"/>
      <x:c r="M5" s="10" t="str"/>
      <x:c r="N5" s="10" t="str"/>
      <x:c r="O5" s="10" t="str"/>
      <x:c r="P5" s="10" t="str">
        <x:v>Risk scenario, not allegation of current non-compliance.</x:v>
      </x:c>
    </x:row>
    <x:row r="6" ht="42" customHeight="1">
      <x:c r="A6" s="10" t="str">
        <x:v>RISK-005</x:v>
      </x:c>
      <x:c r="B6" s="10" t="str">
        <x:v>Design overrun before customer value is proven</x:v>
      </x:c>
      <x:c r="C6" s="10" t="str">
        <x:v>Product / architecture</x:v>
      </x:c>
      <x:c r="D6" s="10" t="str">
        <x:v>Team implements broad target architecture without a triggered customer need or validated value.</x:v>
      </x:c>
      <x:c r="E6" s="10" t="str">
        <x:v>Schedule/cost overrun and reduced opportunity to validate product-market fit.</x:v>
      </x:c>
      <x:c r="F6" s="10" t="str">
        <x:v>UNKNOWN — validate with owner/customer evidence.</x:v>
      </x:c>
      <x:c r="G6" s="10" t="str">
        <x:v>HIGH</x:v>
      </x:c>
      <x:c r="H6" s="10" t="str">
        <x:v>Respect staged triggers; scope each phase; require measurable customer/user outcome and explicit exit criteria.</x:v>
      </x:c>
      <x:c r="I6" s="10" t="str">
        <x:v>Product/system owner</x:v>
      </x:c>
      <x:c r="J6" s="10" t="str">
        <x:v>OPEN</x:v>
      </x:c>
      <x:c r="K6" s="10" t="str">
        <x:v>VFY-GOV-003;VFY-REQ-001;VFY-ARC-004</x:v>
      </x:c>
      <x:c r="L6" s="10" t="str"/>
      <x:c r="M6" s="10" t="str"/>
      <x:c r="N6" s="10" t="str"/>
      <x:c r="O6" s="10" t="str"/>
      <x:c r="P6" s="10" t="str">
        <x:v>Strategic risk hypothesis derived from staged implementation principle.</x:v>
      </x:c>
    </x:row>
    <x:row r="7" ht="42" customHeight="1">
      <x:c r="A7" s="10" t="str">
        <x:v>RISK-006</x:v>
      </x:c>
      <x:c r="B7" s="10" t="str">
        <x:v>Evidence becomes stale after change</x:v>
      </x:c>
      <x:c r="C7" s="10" t="str">
        <x:v>Governance / quality</x:v>
      </x:c>
      <x:c r="D7" s="10" t="str">
        <x:v>Tests/reviews refer to an old build, stack, law, partner profile, or configuration.</x:v>
      </x:c>
      <x:c r="E7" s="10" t="str">
        <x:v>False confidence and unsafe release decision.</x:v>
      </x:c>
      <x:c r="F7" s="10" t="str">
        <x:v>UNKNOWN — assess after evidence repository is active.</x:v>
      </x:c>
      <x:c r="G7" s="10" t="str">
        <x:v>HIGH</x:v>
      </x:c>
      <x:c r="H7" s="10" t="str">
        <x:v>Bind evidence to commit/build/config; expiry dates; trigger-based impact analysis; recurring evidence review.</x:v>
      </x:c>
      <x:c r="I7" s="10" t="str">
        <x:v>QA/verification owner</x:v>
      </x:c>
      <x:c r="J7" s="10" t="str">
        <x:v>OPEN</x:v>
      </x:c>
      <x:c r="K7" s="10" t="str">
        <x:v>VFY-GOV-007;VFY-GOV-009;VFY-REL-001</x:v>
      </x:c>
      <x:c r="L7" s="10" t="str"/>
      <x:c r="M7" s="10" t="str"/>
      <x:c r="N7" s="10" t="str"/>
      <x:c r="O7" s="10" t="str"/>
      <x:c r="P7" s="10" t="str">
        <x:v>Initial control-system risk.</x:v>
      </x:c>
    </x:row>
    <x:row r="8" ht="42" customHeight="1">
      <x:c r="A8" s="10" t="str">
        <x:v>RISK-007</x:v>
      </x:c>
      <x:c r="B8" s="10" t="str">
        <x:v>Critical function unavailable under real load</x:v>
      </x:c>
      <x:c r="C8" s="10" t="str">
        <x:v>Performance / resilience</x:v>
      </x:c>
      <x:c r="D8" s="10" t="str">
        <x:v>Unmeasured concurrency, bottlenecks or dependency failures break patient-facing or staff-critical workflows.</x:v>
      </x:c>
      <x:c r="E8" s="10" t="str">
        <x:v>Delayed care/work, transactional backlog, or missed operational deadlines.</x:v>
      </x:c>
      <x:c r="F8" s="10" t="str">
        <x:v>UNKNOWN — workload profile and current implementation must be measured.</x:v>
      </x:c>
      <x:c r="G8" s="10" t="str">
        <x:v>HIGH</x:v>
      </x:c>
      <x:c r="H8" s="10" t="str">
        <x:v>Approved SLOs, representative load/stress/soak tests, dependency fault injection, alert/runbook readiness.</x:v>
      </x:c>
      <x:c r="I8" s="10" t="str">
        <x:v>Operations owner</x:v>
      </x:c>
      <x:c r="J8" s="10" t="str">
        <x:v>OPEN</x:v>
      </x:c>
      <x:c r="K8" s="10" t="str">
        <x:v>VFY-OPS-001;VFY-PERF-001;VFY-API-003;VFY-OPS-004</x:v>
      </x:c>
      <x:c r="L8" s="10" t="str"/>
      <x:c r="M8" s="10" t="str"/>
      <x:c r="N8" s="10" t="str"/>
      <x:c r="O8" s="10" t="str"/>
      <x:c r="P8" s="10" t="str">
        <x:v>Do not present architecture targets as measured capacity.</x:v>
      </x:c>
    </x:row>
  </x:sheetData>
  <x:dataValidations count="1">
    <x:dataValidation type="list" sqref="J2:J8">
      <x:formula1>"OPEN,IN_TREATMENT,ACCEPTED,CLOSED"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977759fac4b3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8" hidden="0" customWidth="1"/>
    <x:col min="4" max="4" width="60" hidden="0" customWidth="1"/>
    <x:col min="5" max="5" width="20" hidden="0" customWidth="1"/>
    <x:col min="6" max="6" width="19" hidden="0" customWidth="1"/>
    <x:col min="7" max="7" width="19" hidden="0" customWidth="1"/>
    <x:col min="8" max="8" width="19" hidden="0" customWidth="1"/>
    <x:col min="9" max="9" width="22" hidden="0" customWidth="1"/>
    <x:col min="10" max="10" width="16" hidden="0" customWidth="1"/>
    <x:col min="11" max="11" width="16" hidden="0" customWidth="1"/>
    <x:col min="12" max="12" width="40" hidden="0" customWidth="1"/>
  </x:cols>
  <x:sheetData>
    <x:row r="1" ht="32" customHeight="1">
      <x:c r="A1" s="6" t="str">
        <x:v>evidence_id</x:v>
      </x:c>
      <x:c r="B1" s="6" t="str">
        <x:v>control_id</x:v>
      </x:c>
      <x:c r="C1" s="6" t="str">
        <x:v>artifact_path</x:v>
      </x:c>
      <x:c r="D1" s="6" t="str">
        <x:v>artifact_sha256</x:v>
      </x:c>
      <x:c r="E1" s="6" t="str">
        <x:v>evidence_type</x:v>
      </x:c>
      <x:c r="F1" s="6" t="str">
        <x:v>created_by</x:v>
      </x:c>
      <x:c r="G1" s="6" t="str">
        <x:v>reviewed_by</x:v>
      </x:c>
      <x:c r="H1" s="6" t="str">
        <x:v>approved_by</x:v>
      </x:c>
      <x:c r="I1" s="6" t="str">
        <x:v>created_utc</x:v>
      </x:c>
      <x:c r="J1" s="6" t="str">
        <x:v>valid_until</x:v>
      </x:c>
      <x:c r="K1" s="6" t="str">
        <x:v>status</x:v>
      </x:c>
      <x:c r="L1" s="6" t="str">
        <x:v>notes</x:v>
      </x:c>
    </x:row>
    <x:row r="2" ht="42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</x:sheetData>
  <x:dataValidations count="1">
    <x:dataValidation type="list" sqref="K2:K200">
      <x:formula1>"PLANNED,COLLECTED,REVIEWED,ACCEPTED,EXPIRED,REJECTED"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7abf2ab0324c2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36" hidden="0" customWidth="1"/>
    <x:col min="4" max="4" width="40" hidden="0" customWidth="1"/>
    <x:col min="5" max="5" width="44" hidden="0" customWidth="1"/>
    <x:col min="6" max="6" width="14" hidden="0" customWidth="1"/>
    <x:col min="7" max="7" width="30" hidden="0" customWidth="1"/>
    <x:col min="8" max="8" width="40" hidden="0" customWidth="1"/>
    <x:col min="9" max="9" width="16" hidden="0" customWidth="1"/>
  </x:cols>
  <x:sheetData>
    <x:row r="1" ht="32" customHeight="1">
      <x:c r="A1" s="6" t="str">
        <x:v>test_id</x:v>
      </x:c>
      <x:c r="B1" s="6" t="str">
        <x:v>domain</x:v>
      </x:c>
      <x:c r="C1" s="6" t="str">
        <x:v>preconditions</x:v>
      </x:c>
      <x:c r="D1" s="6" t="str">
        <x:v>action</x:v>
      </x:c>
      <x:c r="E1" s="6" t="str">
        <x:v>expected_result</x:v>
      </x:c>
      <x:c r="F1" s="6" t="str">
        <x:v>risk_tier</x:v>
      </x:c>
      <x:c r="G1" s="6" t="str">
        <x:v>linked_controls</x:v>
      </x:c>
      <x:c r="H1" s="6" t="str">
        <x:v>evidence_to_capture</x:v>
      </x:c>
      <x:c r="I1" s="6" t="str">
        <x:v>status</x:v>
      </x:c>
    </x:row>
    <x:row r="2" ht="42" customHeight="1">
      <x:c r="A2" s="10" t="str">
        <x:v>TST-SEC-001</x:v>
      </x:c>
      <x:c r="B2" s="10" t="str">
        <x:v>Tenant isolation</x:v>
      </x:c>
      <x:c r="C2" s="10" t="str">
        <x:v>Synthetic users A and B; record belongs to B; scoped API credentials</x:v>
      </x:c>
      <x:c r="D2" s="10" t="str">
        <x:v>Authenticate as A and request B record by direct identifier</x:v>
      </x:c>
      <x:c r="E2" s="10" t="str">
        <x:v>Deny with no record fields or secondary side effect; event is logged appropriately</x:v>
      </x:c>
      <x:c r="F2" s="10" t="str">
        <x:v>CRITICAL</x:v>
      </x:c>
      <x:c r="G2" s="10" t="str">
        <x:v>VFY-SEC-004;VFY-TEST-004</x:v>
      </x:c>
      <x:c r="H2" s="10" t="str">
        <x:v>Request/response sanitized, correlation ID, audit event, build</x:v>
      </x:c>
      <x:c r="I2" s="10" t="str">
        <x:v>NOT_RUN</x:v>
      </x:c>
    </x:row>
    <x:row r="3" ht="42" customHeight="1">
      <x:c r="A3" s="10" t="str">
        <x:v>TST-SEC-002</x:v>
      </x:c>
      <x:c r="B3" s="10" t="str">
        <x:v>Tenant isolation</x:v>
      </x:c>
      <x:c r="C3" s="10" t="str">
        <x:v>Tenant A user; export/search/report endpoints enabled in test</x:v>
      </x:c>
      <x:c r="D3" s="10" t="str">
        <x:v>Query, filter, paginate, export and aggregate across tenant boundary</x:v>
      </x:c>
      <x:c r="E3" s="10" t="str">
        <x:v>No B data in details, totals, export, cache, or asynchronous output</x:v>
      </x:c>
      <x:c r="F3" s="10" t="str">
        <x:v>CRITICAL</x:v>
      </x:c>
      <x:c r="G3" s="10" t="str">
        <x:v>VFY-SEC-004;VFY-TEST-004</x:v>
      </x:c>
      <x:c r="H3" s="10" t="str">
        <x:v>Sanitized export/search outputs and negative assertions</x:v>
      </x:c>
      <x:c r="I3" s="10" t="str">
        <x:v>NOT_RUN</x:v>
      </x:c>
    </x:row>
    <x:row r="4" ht="42" customHeight="1">
      <x:c r="A4" s="10" t="str">
        <x:v>TST-SEC-003</x:v>
      </x:c>
      <x:c r="B4" s="10" t="str">
        <x:v>Authorization</x:v>
      </x:c>
      <x:c r="C4" s="10" t="str">
        <x:v>Synthetic role matrix and endpoints</x:v>
      </x:c>
      <x:c r="D4" s="10" t="str">
        <x:v>Try each sensitive action unauthenticated, wrong-role, expired-token and revoked-session</x:v>
      </x:c>
      <x:c r="E4" s="10" t="str">
        <x:v>Default deny, no sensitive side effects, expected audit outcome</x:v>
      </x:c>
      <x:c r="F4" s="10" t="str">
        <x:v>CRITICAL</x:v>
      </x:c>
      <x:c r="G4" s="10" t="str">
        <x:v>VFY-SEC-002;VFY-SEC-003;VFY-TEST-004</x:v>
      </x:c>
      <x:c r="H4" s="10" t="str">
        <x:v>Role/action decision table and test report</x:v>
      </x:c>
      <x:c r="I4" s="10" t="str">
        <x:v>NOT_RUN</x:v>
      </x:c>
    </x:row>
    <x:row r="5" ht="42" customHeight="1">
      <x:c r="A5" s="10" t="str">
        <x:v>TST-SEC-004</x:v>
      </x:c>
      <x:c r="B5" s="10" t="str">
        <x:v>Break-glass</x:v>
      </x:c>
      <x:c r="C5" s="10" t="str">
        <x:v>Synthetic emergency workflow and user with no emergency justification</x:v>
      </x:c>
      <x:c r="D5" s="10" t="str">
        <x:v>Request elevation without reason, outside scope, after expiry, and reuse token</x:v>
      </x:c>
      <x:c r="E5" s="10" t="str">
        <x:v>Invalid requests denied; approved emergency actions expire and are attributable</x:v>
      </x:c>
      <x:c r="F5" s="10" t="str">
        <x:v>CRITICAL</x:v>
      </x:c>
      <x:c r="G5" s="10" t="str">
        <x:v>VFY-SEC-005</x:v>
      </x:c>
      <x:c r="H5" s="10" t="str">
        <x:v>Decision traces and audit records</x:v>
      </x:c>
      <x:c r="I5" s="10" t="str">
        <x:v>NOT_RUN</x:v>
      </x:c>
    </x:row>
    <x:row r="6" ht="42" customHeight="1">
      <x:c r="A6" s="10" t="str">
        <x:v>TST-LOG-001</x:v>
      </x:c>
      <x:c r="B6" s="10" t="str">
        <x:v>Telemetry privacy</x:v>
      </x:c>
      <x:c r="C6" s="10" t="str">
        <x:v>Synthetic unique canary strings standing in for PHI/secrets</x:v>
      </x:c>
      <x:c r="D6" s="10" t="str">
        <x:v>Trigger normal and error paths then search logs/traces/metrics/alerts</x:v>
      </x:c>
      <x:c r="E6" s="10" t="str">
        <x:v>Canary is absent from ordinary telemetry; any approved exception is documented</x:v>
      </x:c>
      <x:c r="F6" s="10" t="str">
        <x:v>CRITICAL</x:v>
      </x:c>
      <x:c r="G6" s="10" t="str">
        <x:v>VFY-PRIV-003</x:v>
      </x:c>
      <x:c r="H6" s="10" t="str">
        <x:v>Automated sanitized scan report</x:v>
      </x:c>
      <x:c r="I6" s="10" t="str">
        <x:v>NOT_RUN</x:v>
      </x:c>
    </x:row>
    <x:row r="7" ht="42" customHeight="1">
      <x:c r="A7" s="10" t="str">
        <x:v>TST-DATA-001</x:v>
      </x:c>
      <x:c r="B7" s="10" t="str">
        <x:v>Clinical identity</x:v>
      </x:c>
      <x:c r="C7" s="10" t="str">
        <x:v>Synthetic duplicate/ambiguous patient identities</x:v>
      </x:c>
      <x:c r="D7" s="10" t="str">
        <x:v>Create, search, merge/unmerge per approved workflow and route results</x:v>
      </x:c>
      <x:c r="E7" s="10" t="str">
        <x:v>No silent wrong-patient association; provenance and reversibility remain intact</x:v>
      </x:c>
      <x:c r="F7" s="10" t="str">
        <x:v>CRITICAL</x:v>
      </x:c>
      <x:c r="G7" s="10" t="str">
        <x:v>VFY-CLIN-001;VFY-CLIN-003;VFY-DATA-001</x:v>
      </x:c>
      <x:c r="H7" s="10" t="str">
        <x:v>Scenario run and clinical reviewer sign-off</x:v>
      </x:c>
      <x:c r="I7" s="10" t="str">
        <x:v>NOT_RUN</x:v>
      </x:c>
    </x:row>
    <x:row r="8" ht="42" customHeight="1">
      <x:c r="A8" s="10" t="str">
        <x:v>TST-DATA-002</x:v>
      </x:c>
      <x:c r="B8" s="10" t="str">
        <x:v>Concurrent edit</x:v>
      </x:c>
      <x:c r="C8" s="10" t="str">
        <x:v>Two synthetic users edit same version of one clinical record</x:v>
      </x:c>
      <x:c r="D8" s="10" t="str">
        <x:v>Save overlapping and stale changes</x:v>
      </x:c>
      <x:c r="E8" s="10" t="str">
        <x:v>Conflict is detected or explicit merge policy applied; no silent loss</x:v>
      </x:c>
      <x:c r="F8" s="10" t="str">
        <x:v>CRITICAL</x:v>
      </x:c>
      <x:c r="G8" s="10" t="str">
        <x:v>VFY-TEST-005;VFY-DATA-001</x:v>
      </x:c>
      <x:c r="H8" s="10" t="str">
        <x:v>Concurrency logs and before/after state</x:v>
      </x:c>
      <x:c r="I8" s="10" t="str">
        <x:v>NOT_RUN</x:v>
      </x:c>
    </x:row>
    <x:row r="9" ht="42" customHeight="1">
      <x:c r="A9" s="10" t="str">
        <x:v>TST-INT-001</x:v>
      </x:c>
      <x:c r="B9" s="10" t="str">
        <x:v>Integration idempotency</x:v>
      </x:c>
      <x:c r="C9" s="10" t="str">
        <x:v>Synthetic valid integration message with stable identifier</x:v>
      </x:c>
      <x:c r="D9" s="10" t="str">
        <x:v>Deliver same message repeatedly, out of order, and after timeout</x:v>
      </x:c>
      <x:c r="E9" s="10" t="str">
        <x:v>No duplicate clinical/financial side effect; replay state is visible</x:v>
      </x:c>
      <x:c r="F9" s="10" t="str">
        <x:v>HIGH</x:v>
      </x:c>
      <x:c r="G9" s="10" t="str">
        <x:v>VFY-TEST-005;VFY-API-003</x:v>
      </x:c>
      <x:c r="H9" s="10" t="str">
        <x:v>Message IDs, processing ledger and resulting entity counts</x:v>
      </x:c>
      <x:c r="I9" s="10" t="str">
        <x:v>NOT_RUN</x:v>
      </x:c>
    </x:row>
    <x:row r="10" ht="42" customHeight="1">
      <x:c r="A10" s="10" t="str">
        <x:v>TST-INT-002</x:v>
      </x:c>
      <x:c r="B10" s="10" t="str">
        <x:v>Integration outage</x:v>
      </x:c>
      <x:c r="C10" s="10" t="str">
        <x:v>Sandbox counterpart can be made unavailable or return malformed payloads</x:v>
      </x:c>
      <x:c r="D10" s="10" t="str">
        <x:v>Inject timeout, 5xx, 401, schema error, and later recovery</x:v>
      </x:c>
      <x:c r="E10" s="10" t="str">
        <x:v>Bounded retry, no silent loss, alert and reconciliation path operate</x:v>
      </x:c>
      <x:c r="F10" s="10" t="str">
        <x:v>HIGH</x:v>
      </x:c>
      <x:c r="G10" s="10" t="str">
        <x:v>VFY-ARC-003;VFY-API-003</x:v>
      </x:c>
      <x:c r="H10" s="10" t="str">
        <x:v>Fault configuration, retry logs, reconciliation report</x:v>
      </x:c>
      <x:c r="I10" s="10" t="str">
        <x:v>NOT_RUN</x:v>
      </x:c>
    </x:row>
    <x:row r="11" ht="42" customHeight="1">
      <x:c r="A11" s="10" t="str">
        <x:v>TST-MIG-001</x:v>
      </x:c>
      <x:c r="B11" s="10" t="str">
        <x:v>Migration</x:v>
      </x:c>
      <x:c r="C11" s="10" t="str">
        <x:v>Synthetic/approved de-identified source and target snapshot</x:v>
      </x:c>
      <x:c r="D11" s="10" t="str">
        <x:v>Run migration, interrupt it, retry, and reconcile</x:v>
      </x:c>
      <x:c r="E11" s="10" t="str">
        <x:v>Defined rollback/forward recovery works; critical counts/fields reconcile</x:v>
      </x:c>
      <x:c r="F11" s="10" t="str">
        <x:v>CRITICAL</x:v>
      </x:c>
      <x:c r="G11" s="10" t="str">
        <x:v>VFY-DATA-002;VFY-MIG-001;VFY-DATA-005</x:v>
      </x:c>
      <x:c r="H11" s="10" t="str">
        <x:v>Migration logs, checksums/counts, discrepancy sign-off</x:v>
      </x:c>
      <x:c r="I11" s="10" t="str">
        <x:v>NOT_RUN</x:v>
      </x:c>
    </x:row>
    <x:row r="12" ht="42" customHeight="1">
      <x:c r="A12" s="10" t="str">
        <x:v>TST-OPS-001</x:v>
      </x:c>
      <x:c r="B12" s="10" t="str">
        <x:v>Backup/restore</x:v>
      </x:c>
      <x:c r="C12" s="10" t="str">
        <x:v>Isolated target environment and documented recovery materials</x:v>
      </x:c>
      <x:c r="D12" s="10" t="str">
        <x:v>Restore backup and execute critical read/write workflows</x:v>
      </x:c>
      <x:c r="E12" s="10" t="str">
        <x:v>Application and data usable; integrity verified; actual RTO/RPO captured</x:v>
      </x:c>
      <x:c r="F12" s="10" t="str">
        <x:v>CRITICAL</x:v>
      </x:c>
      <x:c r="G12" s="10" t="str">
        <x:v>VFY-OPS-002;VFY-OPS-007</x:v>
      </x:c>
      <x:c r="H12" s="10" t="str">
        <x:v>Timed runbook, reconcile output, independent observer</x:v>
      </x:c>
      <x:c r="I12" s="10" t="str">
        <x:v>NOT_RUN</x:v>
      </x:c>
    </x:row>
    <x:row r="13" ht="42" customHeight="1">
      <x:c r="A13" s="10" t="str">
        <x:v>TST-OPS-002</x:v>
      </x:c>
      <x:c r="B13" s="10" t="str">
        <x:v>Release rollback</x:v>
      </x:c>
      <x:c r="C13" s="10" t="str">
        <x:v>Staging deployment with representative state</x:v>
      </x:c>
      <x:c r="D13" s="10" t="str">
        <x:v>Deploy candidate then execute approved rollback/forward-fix scenario</x:v>
      </x:c>
      <x:c r="E13" s="10" t="str">
        <x:v>Service returns to accepted state; migration/data effects handled explicitly</x:v>
      </x:c>
      <x:c r="F13" s="10" t="str">
        <x:v>HIGH</x:v>
      </x:c>
      <x:c r="G13" s="10" t="str">
        <x:v>VFY-OPS-003;VFY-REL-001</x:v>
      </x:c>
      <x:c r="H13" s="10" t="str">
        <x:v>Timeline, errors, data reconciliation, go/no-go report</x:v>
      </x:c>
      <x:c r="I13" s="10" t="str">
        <x:v>NOT_RUN</x:v>
      </x:c>
    </x:row>
    <x:row r="14" ht="42" customHeight="1">
      <x:c r="A14" s="10" t="str">
        <x:v>TST-PERF-001</x:v>
      </x:c>
      <x:c r="B14" s="10" t="str">
        <x:v>Performance</x:v>
      </x:c>
      <x:c r="C14" s="10" t="str">
        <x:v>Approved workload profile and synthetic dataset size</x:v>
      </x:c>
      <x:c r="D14" s="10" t="str">
        <x:v>Run baseline, expected peak, burst, stress and soak tests</x:v>
      </x:c>
      <x:c r="E14" s="10" t="str">
        <x:v>Pre-approved journey SLOs met or bottlenecks/failed criteria block release</x:v>
      </x:c>
      <x:c r="F14" s="10" t="str">
        <x:v>HIGH</x:v>
      </x:c>
      <x:c r="G14" s="10" t="str">
        <x:v>VFY-OPS-001;VFY-PERF-001</x:v>
      </x:c>
      <x:c r="H14" s="10" t="str">
        <x:v>Load profile, resource metrics, percentiles, failure report</x:v>
      </x:c>
      <x:c r="I14" s="10" t="str">
        <x:v>NOT_RUN</x:v>
      </x:c>
    </x:row>
    <x:row r="15" ht="42" customHeight="1">
      <x:c r="A15" s="10" t="str">
        <x:v>TST-FIN-001</x:v>
      </x:c>
      <x:c r="B15" s="10" t="str">
        <x:v>Financial correctness</x:v>
      </x:c>
      <x:c r="C15" s="10" t="str">
        <x:v>Synthetic amounts/currencies/tax/refund cases</x:v>
      </x:c>
      <x:c r="D15" s="10" t="str">
        <x:v>Test decimal boundaries, rounding, retries and concurrent postings</x:v>
      </x:c>
      <x:c r="E15" s="10" t="str">
        <x:v>Exact totals and invariants hold; no floating-point drift or duplicate charge</x:v>
      </x:c>
      <x:c r="F15" s="10" t="str">
        <x:v>HIGH</x:v>
      </x:c>
      <x:c r="G15" s="10" t="str">
        <x:v>VFY-DATA-003;VFY-TEST-005</x:v>
      </x:c>
      <x:c r="H15" s="10" t="str">
        <x:v>Property test report and ledger reconciliation</x:v>
      </x:c>
      <x:c r="I15" s="10" t="str">
        <x:v>NOT_RUN</x:v>
      </x:c>
    </x:row>
    <x:row r="16" ht="42" customHeight="1">
      <x:c r="A16" s="10" t="str">
        <x:v>TST-AUD-001</x:v>
      </x:c>
      <x:c r="B16" s="10" t="str">
        <x:v>Audit integrity</x:v>
      </x:c>
      <x:c r="C16" s="10" t="str">
        <x:v>Synthetic privileged and clinical mutations</x:v>
      </x:c>
      <x:c r="D16" s="10" t="str">
        <x:v>Attempt ordinary and privileged modification/deletion of audit records</x:v>
      </x:c>
      <x:c r="E16" s="10" t="str">
        <x:v>Unauthorized changes denied or tampering detected; record chain remains reviewable</x:v>
      </x:c>
      <x:c r="F16" s="10" t="str">
        <x:v>CRITICAL</x:v>
      </x:c>
      <x:c r="G16" s="10" t="str">
        <x:v>VFY-AUD-001;VFY-DATA-004</x:v>
      </x:c>
      <x:c r="H16" s="10" t="str">
        <x:v>Audit event samples and tamper-test output</x:v>
      </x:c>
      <x:c r="I16" s="10" t="str">
        <x:v>NOT_RUN</x:v>
      </x:c>
    </x:row>
    <x:row r="17" ht="42" customHeight="1">
      <x:c r="A17" s="10" t="str">
        <x:v>TST-CLIN-001</x:v>
      </x:c>
      <x:c r="B17" s="10" t="str">
        <x:v>Clinical stale state</x:v>
      </x:c>
      <x:c r="C17" s="10" t="str">
        <x:v>Synthetic delayed, amended, cancelled and superseded result</x:v>
      </x:c>
      <x:c r="D17" s="10" t="str">
        <x:v>Open results in multiple sessions/time boundaries</x:v>
      </x:c>
      <x:c r="E17" s="10" t="str">
        <x:v>Current status and provenance are clear; stale/superseded data is not misrepresented as current</x:v>
      </x:c>
      <x:c r="F17" s="10" t="str">
        <x:v>CRITICAL</x:v>
      </x:c>
      <x:c r="G17" s="10" t="str">
        <x:v>VFY-CLIN-001;VFY-CLIN-003</x:v>
      </x:c>
      <x:c r="H17" s="10" t="str">
        <x:v>Clinical scenario observations and reviewer decision</x:v>
      </x:c>
      <x:c r="I17" s="10" t="str">
        <x:v>NOT_RUN</x:v>
      </x:c>
    </x:row>
    <x:row r="18" ht="42" customHeight="1">
      <x:c r="A18" s="10" t="str">
        <x:v>TST-CLIN-002</x:v>
      </x:c>
      <x:c r="B18" s="10" t="str">
        <x:v>Workflow downtime</x:v>
      </x:c>
      <x:c r="C18" s="10" t="str">
        <x:v>Synthetic critical workflow with dependency unavailable</x:v>
      </x:c>
      <x:c r="D18" s="10" t="str">
        <x:v>Simulate outage and recovery according to downtime procedure</x:v>
      </x:c>
      <x:c r="E18" s="10" t="str">
        <x:v>Staff can identify incomplete work; recovery prevents duplicate/lost orders/results</x:v>
      </x:c>
      <x:c r="F18" s="10" t="str">
        <x:v>CRITICAL</x:v>
      </x:c>
      <x:c r="G18" s="10" t="str">
        <x:v>VFY-CLIN-002;VFY-OPS-002;VFY-API-003</x:v>
      </x:c>
      <x:c r="H18" s="10" t="str">
        <x:v>Drill timeline, reconciliation, clinical sign-off</x:v>
      </x:c>
      <x:c r="I18" s="10" t="str">
        <x:v>NOT_RUN</x:v>
      </x:c>
    </x:row>
    <x:row r="19" ht="42" customHeight="1">
      <x:c r="A19" s="10" t="str">
        <x:v>TST-PRIV-001</x:v>
      </x:c>
      <x:c r="B19" s="10" t="str">
        <x:v>Retention/rights</x:v>
      </x:c>
      <x:c r="C19" s="10" t="str">
        <x:v>Synthetic records under each approved retention category</x:v>
      </x:c>
      <x:c r="D19" s="10" t="str">
        <x:v>Execute access/export/correction/deletion/legal-hold workflows</x:v>
      </x:c>
      <x:c r="E19" s="10" t="str">
        <x:v>Actual result matches legally reviewed policy and preserves mandatory records</x:v>
      </x:c>
      <x:c r="F19" s="10" t="str">
        <x:v>HIGH</x:v>
      </x:c>
      <x:c r="G19" s="10" t="str">
        <x:v>VFY-PRIV-004;VFY-COMP-001</x:v>
      </x:c>
      <x:c r="H19" s="10" t="str">
        <x:v>Policy mapping, test output, specialist review</x:v>
      </x:c>
      <x:c r="I19" s="10" t="str">
        <x:v>NOT_RUN</x:v>
      </x:c>
    </x:row>
    <x:row r="20" ht="42" customHeight="1">
      <x:c r="A20" s="10" t="str">
        <x:v>TST-REL-001</x:v>
      </x:c>
      <x:c r="B20" s="10" t="str">
        <x:v>Build provenance</x:v>
      </x:c>
      <x:c r="C20" s="10" t="str">
        <x:v>Release candidate and configured CI/repository</x:v>
      </x:c>
      <x:c r="D20" s="10" t="str">
        <x:v>Trace deployed artifact back to commit, dependency lock and build workflow</x:v>
      </x:c>
      <x:c r="E20" s="10" t="str">
        <x:v>Artifact identity and all sign-offs refer to exact tested candidate</x:v>
      </x:c>
      <x:c r="F20" s="10" t="str">
        <x:v>HIGH</x:v>
      </x:c>
      <x:c r="G20" s="10" t="str">
        <x:v>VFY-SUP-001;VFY-REL-001;VFY-REL-002</x:v>
      </x:c>
      <x:c r="H20" s="10" t="str">
        <x:v>Digest, SBOM/provenance, release manifest</x:v>
      </x:c>
      <x:c r="I20" s="10" t="str">
        <x:v>NOT_RUN</x:v>
      </x:c>
    </x:row>
    <x:row r="21" ht="42" customHeight="1">
      <x:c r="A21" s="10" t="str">
        <x:v>TST-IR-001</x:v>
      </x:c>
      <x:c r="B21" s="10" t="str">
        <x:v>Incident response</x:v>
      </x:c>
      <x:c r="C21" s="10" t="str">
        <x:v>Tabletop scenario: suspected PHI exposure with clinical service impact</x:v>
      </x:c>
      <x:c r="D21" s="10" t="str">
        <x:v>Run containment, escalation, evidence preservation and communication drill</x:v>
      </x:c>
      <x:c r="E21" s="10" t="str">
        <x:v>Responsible people execute runbook; gaps get owners/dates; timing recorded</x:v>
      </x:c>
      <x:c r="F21" s="10" t="str">
        <x:v>HIGH</x:v>
      </x:c>
      <x:c r="G21" s="10" t="str">
        <x:v>VFY-IR-001;VFY-OPS-005</x:v>
      </x:c>
      <x:c r="H21" s="10" t="str">
        <x:v>Tabletop notes without PHI, action log and follow-up</x:v>
      </x:c>
      <x:c r="I21" s="10" t="str">
        <x:v>NOT_RUN</x:v>
      </x:c>
    </x:row>
  </x:sheetData>
  <x:dataValidations count="1">
    <x:dataValidation type="list" sqref="I2:I21">
      <x:formula1>"NOT_RUN,IN_PROGRESS,PASS,FAIL,BLOCKED,NOT_APPLICABLE"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be12dea9b492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5" hidden="0" customWidth="1"/>
    <x:col min="5" max="5" width="22" hidden="0" customWidth="1"/>
    <x:col min="6" max="6" width="40" hidden="0" customWidth="1"/>
    <x:col min="7" max="7" width="50" hidden="0" customWidth="1"/>
    <x:col min="8" max="8" width="22" hidden="0" customWidth="1"/>
    <x:col min="9" max="9" width="22" hidden="0" customWidth="1"/>
    <x:col min="10" max="10" width="32" hidden="0" customWidth="1"/>
    <x:col min="11" max="11" width="38" hidden="0" customWidth="1"/>
    <x:col min="12" max="12" width="20" hidden="0" customWidth="1"/>
    <x:col min="13" max="13" width="20" hidden="0" customWidth="1"/>
    <x:col min="14" max="14" width="20" hidden="0" customWidth="1"/>
    <x:col min="15" max="15" width="23" hidden="0" customWidth="1"/>
    <x:col min="16" max="16" width="20" hidden="0" customWidth="1"/>
    <x:col min="17" max="17" width="22" hidden="0" customWidth="1"/>
    <x:col min="18" max="18" width="17" hidden="0" customWidth="1"/>
    <x:col min="19" max="19" width="40" hidden="0" customWidth="1"/>
  </x:cols>
  <x:sheetData>
    <x:row r="1" ht="32" customHeight="1">
      <x:c r="A1" s="6" t="str">
        <x:v>release_id</x:v>
      </x:c>
      <x:c r="B1" s="6" t="str">
        <x:v>environment</x:v>
      </x:c>
      <x:c r="C1" s="6" t="str">
        <x:v>gate</x:v>
      </x:c>
      <x:c r="D1" s="6" t="str">
        <x:v>decision</x:v>
      </x:c>
      <x:c r="E1" s="6" t="str">
        <x:v>decision_owner</x:v>
      </x:c>
      <x:c r="F1" s="6" t="str">
        <x:v>commit_sha</x:v>
      </x:c>
      <x:c r="G1" s="6" t="str">
        <x:v>artifact_digest</x:v>
      </x:c>
      <x:c r="H1" s="6" t="str">
        <x:v>configuration_version</x:v>
      </x:c>
      <x:c r="I1" s="6" t="str">
        <x:v>migration_version</x:v>
      </x:c>
      <x:c r="J1" s="6" t="str">
        <x:v>scope</x:v>
      </x:c>
      <x:c r="K1" s="6" t="str">
        <x:v>rollback_plan_path</x:v>
      </x:c>
      <x:c r="L1" s="6" t="str">
        <x:v>qa_signoff</x:v>
      </x:c>
      <x:c r="M1" s="6" t="str">
        <x:v>security_signoff</x:v>
      </x:c>
      <x:c r="N1" s="6" t="str">
        <x:v>clinical_signoff</x:v>
      </x:c>
      <x:c r="O1" s="6" t="str">
        <x:v>privacy_legal_signoff</x:v>
      </x:c>
      <x:c r="P1" s="6" t="str">
        <x:v>operations_signoff</x:v>
      </x:c>
      <x:c r="Q1" s="6" t="str">
        <x:v>recorded_utc</x:v>
      </x:c>
      <x:c r="R1" s="6" t="str">
        <x:v>valid_until</x:v>
      </x:c>
      <x:c r="S1" s="6" t="str">
        <x:v>notes</x:v>
      </x:c>
    </x:row>
    <x:row r="2" ht="42" customHeight="1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  <x:c r="M2" s="10" t="str"/>
      <x:c r="N2" s="10" t="str"/>
      <x:c r="O2" s="10" t="str"/>
      <x:c r="P2" s="10" t="str"/>
      <x:c r="Q2" s="10" t="str"/>
      <x:c r="R2" s="10" t="str"/>
      <x:c r="S2" s="10" t="str"/>
    </x:row>
  </x:sheetData>
  <x:pageMargins left="0.7" right="0.7" top="0.75" bottom="0.75" header="0.3" footer="0.3"/>
  <x:tableParts count="1">
    <x:tablePart xmlns:r="http://schemas.openxmlformats.org/officeDocument/2006/relationships" r:id="Rf2957153b803480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7" hidden="0" customWidth="1"/>
    <x:col min="4" max="4" width="17" hidden="0" customWidth="1"/>
    <x:col min="5" max="5" width="17" hidden="0" customWidth="1"/>
    <x:col min="6" max="6" width="22" hidden="0" customWidth="1"/>
    <x:col min="7" max="7" width="21" hidden="0" customWidth="1"/>
    <x:col min="8" max="8" width="21" hidden="0" customWidth="1"/>
    <x:col min="9" max="9" width="24" hidden="0" customWidth="1"/>
    <x:col min="10" max="10" width="17" hidden="0" customWidth="1"/>
    <x:col min="11" max="11" width="16" hidden="0" customWidth="1"/>
    <x:col min="12" max="12" width="40" hidden="0" customWidth="1"/>
  </x:cols>
  <x:sheetData>
    <x:row r="1" ht="32" customHeight="1">
      <x:c r="A1" s="6" t="str">
        <x:v>period_id</x:v>
      </x:c>
      <x:c r="B1" s="6" t="str">
        <x:v>environment</x:v>
      </x:c>
      <x:c r="C1" s="6" t="str">
        <x:v>period_start</x:v>
      </x:c>
      <x:c r="D1" s="6" t="str">
        <x:v>period_end</x:v>
      </x:c>
      <x:c r="E1" s="6" t="str">
        <x:v>decision</x:v>
      </x:c>
      <x:c r="F1" s="6" t="str">
        <x:v>operations_reviewer</x:v>
      </x:c>
      <x:c r="G1" s="6" t="str">
        <x:v>security_reviewer</x:v>
      </x:c>
      <x:c r="H1" s="6" t="str">
        <x:v>clinical_reviewer</x:v>
      </x:c>
      <x:c r="I1" s="6" t="str">
        <x:v>privacy_legal_reviewer</x:v>
      </x:c>
      <x:c r="J1" s="6" t="str">
        <x:v>evidence_id</x:v>
      </x:c>
      <x:c r="K1" s="6" t="str">
        <x:v>next_review</x:v>
      </x:c>
      <x:c r="L1" s="6" t="str">
        <x:v>notes</x:v>
      </x:c>
    </x:row>
    <x:row r="2" ht="42" customHeight="1">
      <x:c r="A2" s="10" t="str"/>
      <x:c r="B2" s="10" t="str"/>
      <x:c r="C2" s="10" t="str"/>
      <x:c r="D2" s="10" t="str"/>
      <x:c r="E2" s="10" t="str"/>
      <x:c r="F2" s="10" t="str"/>
      <x:c r="G2" s="10" t="str"/>
      <x:c r="H2" s="10" t="str"/>
      <x:c r="I2" s="10" t="str"/>
      <x:c r="J2" s="10" t="str"/>
      <x:c r="K2" s="10" t="str"/>
      <x:c r="L2" s="10" t="str"/>
    </x:row>
  </x:sheetData>
  <x:pageMargins left="0.7" right="0.7" top="0.75" bottom="0.75" header="0.3" footer="0.3"/>
  <x:tableParts count="1">
    <x:tablePart xmlns:r="http://schemas.openxmlformats.org/officeDocument/2006/relationships" r:id="Rc5e3753e63e044f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0" hidden="0" customWidth="1"/>
  </x:cols>
  <x:sheetData>
    <x:row r="1" ht="32" customHeight="1">
      <x:c r="A1" s="40" t="str">
        <x:v>ARGON HEALTH — Assurance Tracker</x:v>
      </x:c>
      <x:c r="B1" s="40" t="str">
        <x:v>Purpose / operating instructions</x:v>
      </x:c>
    </x:row>
    <x:row r="2" ht="42" customHeight="1">
      <x:c r="A2" s="44" t="str">
        <x:v>Dashboard</x:v>
      </x:c>
      <x:c r="B2" s="8" t="str">
        <x:v>Formula-driven summary of matrix status, initial critical risk load, evidence count and planned controls by gate.</x:v>
      </x:c>
    </x:row>
    <x:row r="3" ht="42" customHeight="1">
      <x:c r="A3" s="44" t="str">
        <x:v>Verification Matrix</x:v>
      </x:c>
      <x:c r="B3" s="8" t="str">
        <x:v>One row per control. Filter by domain, risk tier, owner, gate or status. All controls start NOT_RUN.</x:v>
      </x:c>
    </x:row>
    <x:row r="4" ht="42" customHeight="1">
      <x:c r="A4" s="44" t="str">
        <x:v>Risk Register</x:v>
      </x:c>
      <x:c r="B4" s="8" t="str">
        <x:v>Seven starter risk hypotheses. Confirm, amend, add, downgrade or close only with documented analysis/evidence.</x:v>
      </x:c>
    </x:row>
    <x:row r="5" ht="42" customHeight="1">
      <x:c r="A5" s="44" t="str">
        <x:v>Evidence Register</x:v>
      </x:c>
      <x:c r="B5" s="8" t="str">
        <x:v>Repository-relative artifact paths, build/environment, tool/config, result, creator/reviewer/approver, hash and validity.</x:v>
      </x:c>
    </x:row>
    <x:row r="6" ht="42" customHeight="1">
      <x:c r="A6" s="44" t="str">
        <x:v>Test Catalog</x:v>
      </x:c>
      <x:c r="B6" s="8" t="str">
        <x:v>20 high-value adversarial/end-to-end scenarios. Map to real endpoints/workflows only after implementation and authorized testing.</x:v>
      </x:c>
    </x:row>
    <x:row r="7" ht="42" customHeight="1">
      <x:c r="A7" s="44" t="str">
        <x:v>Release Signoffs</x:v>
      </x:c>
      <x:c r="B7" s="8" t="str">
        <x:v>Bind approvals to exact commit, artifact digest, config, migration and rollback plan.</x:v>
      </x:c>
    </x:row>
    <x:row r="8" ht="42" customHeight="1">
      <x:c r="A8" s="44" t="str">
        <x:v>Revalidation</x:v>
      </x:c>
      <x:c r="B8" s="8" t="str">
        <x:v>Periodic production continuation review. G5 requires accepted evidence and independent reviewers.</x:v>
      </x:c>
    </x:row>
    <x:row r="9" ht="42" customHeight="1">
      <x:c r="A9" s="44" t="str">
        <x:v>Checker</x:v>
      </x:c>
      <x:c r="B9" s="8" t="str">
        <x:v>python scripts/argon_assurance_lint.py --root . ; production: python scripts/argon_assurance_lint.py --root . --gate G4</x:v>
      </x:c>
    </x:row>
    <x:row r="10" ht="42" customHeight="1">
      <x:c r="A10" s="44" t="str">
        <x:v>Truth boundary</x:v>
      </x:c>
      <x:c r="B10" s="8" t="str">
        <x:v>Passing structural checks does not prove code exists or passes tests, nor prove security, clinical safety, legal compliance or production readiness.</x:v>
      </x:c>
    </x:row>
    <x:row r="11" ht="42" customHeight="1">
      <x:c r="A11" s="44" t="str">
        <x:v>Governance</x:v>
      </x:c>
      <x:c r="B11" s="8" t="str">
        <x:v>Merge with the repo's current source-of-truth, ADR, architecture status, clinical safety, and compliance governance.</x:v>
      </x:c>
    </x:row>
    <x:row r="12" ht="42" customHeight="1">
      <x:c r="A12" s="44" t="str">
        <x:v>Standards</x:v>
      </x:c>
      <x:c r="B12" s="8" t="str">
        <x:v>Use current, applicable standards after specialist scope review; do not claim certification/compliance without authorized evidence.</x:v>
      </x:c>
    </x:row>
  </x:sheetData>
  <x:pageMargins left="0.7" right="0.7" top="0.75" bottom="0.75" header="0.3" footer="0.3"/>
</x:worksheet>
</file>